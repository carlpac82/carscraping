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lipepacheco.autoprudente/Library/CloudStorage/GoogleDrive-comercial@auto-prudente.com/O meu disco/CM/"/>
    </mc:Choice>
  </mc:AlternateContent>
  <xr:revisionPtr revIDLastSave="0" documentId="13_ncr:1_{758620DC-4C19-754E-B534-A2DD45520836}" xr6:coauthVersionLast="47" xr6:coauthVersionMax="47" xr10:uidLastSave="{00000000-0000-0000-0000-000000000000}"/>
  <bookViews>
    <workbookView xWindow="-38420" yWindow="-2380" windowWidth="38400" windowHeight="20980" xr2:uid="{7C627F92-71D4-0D4B-84D9-6C9F32CCBF77}"/>
  </bookViews>
  <sheets>
    <sheet name="COMISSIONISTAS" sheetId="1" r:id="rId1"/>
    <sheet name="AP+API-WEB+BROKERS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5" i="1"/>
  <c r="E70" i="1"/>
  <c r="E71" i="1" s="1"/>
  <c r="E66" i="1"/>
  <c r="E67" i="1"/>
  <c r="E63" i="1"/>
  <c r="E64" i="1" s="1"/>
  <c r="E60" i="1"/>
  <c r="E61" i="1" s="1"/>
  <c r="E57" i="1"/>
  <c r="E58" i="1" s="1"/>
  <c r="E54" i="1"/>
  <c r="E53" i="1"/>
  <c r="E52" i="1"/>
  <c r="E51" i="1"/>
  <c r="E50" i="1"/>
  <c r="E47" i="1"/>
  <c r="E46" i="1"/>
  <c r="E48" i="1"/>
  <c r="E44" i="1"/>
  <c r="E43" i="1"/>
  <c r="E40" i="1"/>
  <c r="E39" i="1"/>
  <c r="E38" i="1"/>
  <c r="E37" i="1"/>
  <c r="E36" i="1"/>
  <c r="E33" i="1"/>
  <c r="E32" i="1"/>
  <c r="E29" i="1"/>
  <c r="E30" i="1" s="1"/>
  <c r="E26" i="1"/>
  <c r="E25" i="1"/>
  <c r="E24" i="1"/>
  <c r="E23" i="1"/>
  <c r="E22" i="1"/>
  <c r="E21" i="1"/>
  <c r="E20" i="1"/>
  <c r="E19" i="1"/>
  <c r="E16" i="1"/>
  <c r="E15" i="1"/>
  <c r="E17" i="1" s="1"/>
  <c r="E12" i="1"/>
  <c r="E13" i="1" s="1"/>
  <c r="E9" i="1"/>
  <c r="E8" i="1"/>
  <c r="E10" i="1" s="1"/>
  <c r="E4" i="1"/>
  <c r="E3" i="1"/>
  <c r="G4" i="2"/>
  <c r="G7" i="2"/>
  <c r="G6" i="2"/>
  <c r="G5" i="2"/>
  <c r="J9" i="2"/>
  <c r="E68" i="1" l="1"/>
  <c r="E34" i="1"/>
  <c r="E41" i="1"/>
  <c r="E55" i="1"/>
  <c r="E27" i="1"/>
  <c r="G9" i="2"/>
</calcChain>
</file>

<file path=xl/sharedStrings.xml><?xml version="1.0" encoding="utf-8"?>
<sst xmlns="http://schemas.openxmlformats.org/spreadsheetml/2006/main" count="602" uniqueCount="281">
  <si>
    <t>Voucher</t>
  </si>
  <si>
    <t>Data Entrega</t>
  </si>
  <si>
    <t>Dias</t>
  </si>
  <si>
    <t>Loyalty Card</t>
  </si>
  <si>
    <t>ABBYCAR-POA</t>
  </si>
  <si>
    <t>72537215</t>
  </si>
  <si>
    <t>15</t>
  </si>
  <si>
    <t>40915973</t>
  </si>
  <si>
    <t>24</t>
  </si>
  <si>
    <t>65207579</t>
  </si>
  <si>
    <t>7</t>
  </si>
  <si>
    <t>34498386</t>
  </si>
  <si>
    <t>12</t>
  </si>
  <si>
    <t>589163871</t>
  </si>
  <si>
    <t>94808965</t>
  </si>
  <si>
    <t>22803067</t>
  </si>
  <si>
    <t>10</t>
  </si>
  <si>
    <t>33941831</t>
  </si>
  <si>
    <t>21</t>
  </si>
  <si>
    <t>69430161</t>
  </si>
  <si>
    <t>14</t>
  </si>
  <si>
    <t>11638445</t>
  </si>
  <si>
    <t>ABBYCAR-PREPAID</t>
  </si>
  <si>
    <t>CJT-187367603</t>
  </si>
  <si>
    <t>26</t>
  </si>
  <si>
    <t>CJT-156006622</t>
  </si>
  <si>
    <t>CJT-187329562</t>
  </si>
  <si>
    <t>69496285</t>
  </si>
  <si>
    <t>CJT-167480722</t>
  </si>
  <si>
    <t>11</t>
  </si>
  <si>
    <t>63166416</t>
  </si>
  <si>
    <t>B51869779</t>
  </si>
  <si>
    <t>CJT-175710298</t>
  </si>
  <si>
    <t>CJT-179231896</t>
  </si>
  <si>
    <t>CJT-181000446</t>
  </si>
  <si>
    <t>CJT-181887804</t>
  </si>
  <si>
    <t>4349699</t>
  </si>
  <si>
    <t>13</t>
  </si>
  <si>
    <t>5672447</t>
  </si>
  <si>
    <t>DYS-174120952</t>
  </si>
  <si>
    <t>12785216</t>
  </si>
  <si>
    <t>DYS-180254124</t>
  </si>
  <si>
    <t>CJT-179315710</t>
  </si>
  <si>
    <t>CJT-185865529</t>
  </si>
  <si>
    <t>75290714</t>
  </si>
  <si>
    <t>CJT-177074390</t>
  </si>
  <si>
    <t>18</t>
  </si>
  <si>
    <t>CJT-179159166</t>
  </si>
  <si>
    <t>62102654</t>
  </si>
  <si>
    <t>9</t>
  </si>
  <si>
    <t>CJT-175062877</t>
  </si>
  <si>
    <t>86338938</t>
  </si>
  <si>
    <t>98821070</t>
  </si>
  <si>
    <t>24866272</t>
  </si>
  <si>
    <t>CJT-188415990</t>
  </si>
  <si>
    <t>16397366</t>
  </si>
  <si>
    <t>CJT-185557179</t>
  </si>
  <si>
    <t>D011783322-CSYV</t>
  </si>
  <si>
    <t>32537505</t>
  </si>
  <si>
    <t>CJT-188690471</t>
  </si>
  <si>
    <t>19</t>
  </si>
  <si>
    <t>CJT-188786816</t>
  </si>
  <si>
    <t>CJT-188857224</t>
  </si>
  <si>
    <t>92851688</t>
  </si>
  <si>
    <t>CJT-183857461</t>
  </si>
  <si>
    <t>6</t>
  </si>
  <si>
    <t>CJT-188847843</t>
  </si>
  <si>
    <t>58040046</t>
  </si>
  <si>
    <t>16137378</t>
  </si>
  <si>
    <t>16</t>
  </si>
  <si>
    <t>CJT-188453754</t>
  </si>
  <si>
    <t>58237228</t>
  </si>
  <si>
    <t>52329537</t>
  </si>
  <si>
    <t>4</t>
  </si>
  <si>
    <t>73300191</t>
  </si>
  <si>
    <t>86538335</t>
  </si>
  <si>
    <t>CJT-179871376</t>
  </si>
  <si>
    <t>56665229</t>
  </si>
  <si>
    <t>CJT-182269259</t>
  </si>
  <si>
    <t>39901042</t>
  </si>
  <si>
    <t>8</t>
  </si>
  <si>
    <t>CJT-163659084</t>
  </si>
  <si>
    <t>21005_16065</t>
  </si>
  <si>
    <t>5</t>
  </si>
  <si>
    <t>BWZWGLS</t>
  </si>
  <si>
    <t>CJT-184230002</t>
  </si>
  <si>
    <t>CJT-181248272</t>
  </si>
  <si>
    <t>96040705</t>
  </si>
  <si>
    <t>CJT-160607571</t>
  </si>
  <si>
    <t>DYS-189274341</t>
  </si>
  <si>
    <t>10203514</t>
  </si>
  <si>
    <t>B81913070</t>
  </si>
  <si>
    <t>ALGAVE MOTORHOME PARK</t>
  </si>
  <si>
    <t>AP</t>
  </si>
  <si>
    <t>1</t>
  </si>
  <si>
    <t>2</t>
  </si>
  <si>
    <t>3</t>
  </si>
  <si>
    <t>28</t>
  </si>
  <si>
    <t>17</t>
  </si>
  <si>
    <t>API-WEB</t>
  </si>
  <si>
    <t>B-0000022939</t>
  </si>
  <si>
    <t>B-0000022948</t>
  </si>
  <si>
    <t>B-0000022921</t>
  </si>
  <si>
    <t>B-0000022972</t>
  </si>
  <si>
    <t>B-0000022974</t>
  </si>
  <si>
    <t>B-0000022980</t>
  </si>
  <si>
    <t>B-0000022916</t>
  </si>
  <si>
    <t>0</t>
  </si>
  <si>
    <t>B-0000023009</t>
  </si>
  <si>
    <t>B-0000022929</t>
  </si>
  <si>
    <t>B-0000023021</t>
  </si>
  <si>
    <t>B-0000020743</t>
  </si>
  <si>
    <t>B-0000022688</t>
  </si>
  <si>
    <t>B-0000023044</t>
  </si>
  <si>
    <t>B-0000023052</t>
  </si>
  <si>
    <t>B-0000022991</t>
  </si>
  <si>
    <t>B-0000023080</t>
  </si>
  <si>
    <t>30</t>
  </si>
  <si>
    <t>B-0000023077</t>
  </si>
  <si>
    <t>B-0000022911</t>
  </si>
  <si>
    <t>B-0000022624</t>
  </si>
  <si>
    <t>B-0000023187</t>
  </si>
  <si>
    <t>61</t>
  </si>
  <si>
    <t>B-0000021814</t>
  </si>
  <si>
    <t>B-0000022456</t>
  </si>
  <si>
    <t>B-0000023190</t>
  </si>
  <si>
    <t>B-0000023276</t>
  </si>
  <si>
    <t>B-0000023281</t>
  </si>
  <si>
    <t>B-0000022976</t>
  </si>
  <si>
    <t>CARJET-PREPAID</t>
  </si>
  <si>
    <t>CJT-187455298</t>
  </si>
  <si>
    <t>CJT-180648787</t>
  </si>
  <si>
    <t>CJT-187429692</t>
  </si>
  <si>
    <t>CJT-182519075</t>
  </si>
  <si>
    <t>CJT-186166916</t>
  </si>
  <si>
    <t>CJT-187329666</t>
  </si>
  <si>
    <t>CJT-187482498</t>
  </si>
  <si>
    <t>CJT-185696885</t>
  </si>
  <si>
    <t>CJT-184880117</t>
  </si>
  <si>
    <t>CJT-157322366</t>
  </si>
  <si>
    <t>CJT-181441186</t>
  </si>
  <si>
    <t>CJT-187432452</t>
  </si>
  <si>
    <t>CJT-176800601</t>
  </si>
  <si>
    <t>CJT-187382265</t>
  </si>
  <si>
    <t>CJT-186280981</t>
  </si>
  <si>
    <t>25</t>
  </si>
  <si>
    <t>CJT-187951055</t>
  </si>
  <si>
    <t>CJT-180780518</t>
  </si>
  <si>
    <t>CJT-181346507</t>
  </si>
  <si>
    <t>CJT-188046577</t>
  </si>
  <si>
    <t>CJT-184368360</t>
  </si>
  <si>
    <t>CJT-187281698</t>
  </si>
  <si>
    <t>CJT-185874360</t>
  </si>
  <si>
    <t>DYS-186091170</t>
  </si>
  <si>
    <t>CJT-187425464</t>
  </si>
  <si>
    <t>CJT-181303401</t>
  </si>
  <si>
    <t>CJT-181479836</t>
  </si>
  <si>
    <t>CJT-187461418</t>
  </si>
  <si>
    <t>CJT-187948995</t>
  </si>
  <si>
    <t>CJT-187446904</t>
  </si>
  <si>
    <t>DYS-187877662</t>
  </si>
  <si>
    <t>DYS-164994612</t>
  </si>
  <si>
    <t>DYI-184724790</t>
  </si>
  <si>
    <t>CJT-184160137</t>
  </si>
  <si>
    <t>CJT-188374210</t>
  </si>
  <si>
    <t>CJT-187926180</t>
  </si>
  <si>
    <t>CJT-183701415</t>
  </si>
  <si>
    <t>CJT-188592241</t>
  </si>
  <si>
    <t>CJT-184031767</t>
  </si>
  <si>
    <t>CJT-184750129</t>
  </si>
  <si>
    <t>CJT-188287614</t>
  </si>
  <si>
    <t>CJT-180642221</t>
  </si>
  <si>
    <t>CJT-188664738</t>
  </si>
  <si>
    <t>CJT-187900672</t>
  </si>
  <si>
    <t>CJT-187191884</t>
  </si>
  <si>
    <t>CJT-188175526</t>
  </si>
  <si>
    <t>CJT-186092780</t>
  </si>
  <si>
    <t>CJT-184800372</t>
  </si>
  <si>
    <t>CJT-188744954</t>
  </si>
  <si>
    <t>CJT-188769406</t>
  </si>
  <si>
    <t>DYS-188286896</t>
  </si>
  <si>
    <t>CJT-188581061</t>
  </si>
  <si>
    <t>DYS-186658090</t>
  </si>
  <si>
    <t>CJT-187702640</t>
  </si>
  <si>
    <t>CJT-187474250</t>
  </si>
  <si>
    <t>CJT-188794881</t>
  </si>
  <si>
    <t>CJT-188839532</t>
  </si>
  <si>
    <t>CJT-187233819</t>
  </si>
  <si>
    <t>CJT-188846158</t>
  </si>
  <si>
    <t>CJT-188841444</t>
  </si>
  <si>
    <t>CJT-183600021</t>
  </si>
  <si>
    <t>CJT-189092581</t>
  </si>
  <si>
    <t>CJT-177542790</t>
  </si>
  <si>
    <t>CJT-189074062</t>
  </si>
  <si>
    <t>CJT-189146919</t>
  </si>
  <si>
    <t>CJT-189065544</t>
  </si>
  <si>
    <t>CJT-189039977</t>
  </si>
  <si>
    <t>CJT-187162335</t>
  </si>
  <si>
    <t>CJT-178173298</t>
  </si>
  <si>
    <t>DYS-187363320</t>
  </si>
  <si>
    <t>CJT-189064347</t>
  </si>
  <si>
    <t>CJT-189056261</t>
  </si>
  <si>
    <t>CJT-189234121</t>
  </si>
  <si>
    <t>CJT-189236248</t>
  </si>
  <si>
    <t>CJT-185681878</t>
  </si>
  <si>
    <t>CJT-189152137</t>
  </si>
  <si>
    <t>CJT-189206067</t>
  </si>
  <si>
    <t>CJT-189148177</t>
  </si>
  <si>
    <t>CJT-189101786</t>
  </si>
  <si>
    <t>CJT-181595579</t>
  </si>
  <si>
    <t>CJT-189039470</t>
  </si>
  <si>
    <t>CJT-189696644</t>
  </si>
  <si>
    <t>CJT-189774350</t>
  </si>
  <si>
    <t>DYS-189029586</t>
  </si>
  <si>
    <t>33</t>
  </si>
  <si>
    <t>CJT-189246160</t>
  </si>
  <si>
    <t>CJT-181370067</t>
  </si>
  <si>
    <t>CJT-189968171</t>
  </si>
  <si>
    <t>CJT-189246149</t>
  </si>
  <si>
    <t>CJT-178152453</t>
  </si>
  <si>
    <t>31</t>
  </si>
  <si>
    <t>CLUB MED- EMMA</t>
  </si>
  <si>
    <t>CLUBE MED - MANUELA</t>
  </si>
  <si>
    <t>DISCOVERCARS-PREPAID</t>
  </si>
  <si>
    <t>D011682455-4WR4</t>
  </si>
  <si>
    <t>D011706100-WF47</t>
  </si>
  <si>
    <t>D011713051-QANM</t>
  </si>
  <si>
    <t>D011684528-JHKP</t>
  </si>
  <si>
    <t>D011224334-G62E</t>
  </si>
  <si>
    <t>D011850035-9T3M</t>
  </si>
  <si>
    <t>D011824669-XW5W</t>
  </si>
  <si>
    <t>D011843002-5PBE</t>
  </si>
  <si>
    <t>D011843437-MU5M</t>
  </si>
  <si>
    <t>D011894507-RVNQ</t>
  </si>
  <si>
    <t>D011851285-MKAR</t>
  </si>
  <si>
    <t>D011897477-FJVR</t>
  </si>
  <si>
    <t>D011858547-Q76C</t>
  </si>
  <si>
    <t>D011691511-8AL4</t>
  </si>
  <si>
    <t>D011899827-2PEP</t>
  </si>
  <si>
    <t>D011865090-UW6F</t>
  </si>
  <si>
    <t>EXPOSE I</t>
  </si>
  <si>
    <t>8256</t>
  </si>
  <si>
    <t>8257</t>
  </si>
  <si>
    <t>FALESIA HOTEL</t>
  </si>
  <si>
    <t>HOTEL BOAVISTA</t>
  </si>
  <si>
    <t>OCEANUS</t>
  </si>
  <si>
    <t>9713</t>
  </si>
  <si>
    <t>OURA VIEW BEACH CLUB</t>
  </si>
  <si>
    <t>PATEO VILLAGE</t>
  </si>
  <si>
    <t>PORTO BAY FALESIA</t>
  </si>
  <si>
    <t>PTO</t>
  </si>
  <si>
    <t>REGENCY SALGADOS</t>
  </si>
  <si>
    <t>ROCAMAR</t>
  </si>
  <si>
    <t>SOL E MAR</t>
  </si>
  <si>
    <t>SUNCHINE RESTAURANTE</t>
  </si>
  <si>
    <t>20</t>
  </si>
  <si>
    <t>VILAS SÃO VICENTE</t>
  </si>
  <si>
    <t>VIP CARS-POA</t>
  </si>
  <si>
    <t>6393693226</t>
  </si>
  <si>
    <t>9662408559</t>
  </si>
  <si>
    <t>5244146561</t>
  </si>
  <si>
    <t>9659940805</t>
  </si>
  <si>
    <t>3678209014</t>
  </si>
  <si>
    <t>9565883095</t>
  </si>
  <si>
    <t>7943778677</t>
  </si>
  <si>
    <t>6451705637</t>
  </si>
  <si>
    <t>7754091157</t>
  </si>
  <si>
    <t>3824279411</t>
  </si>
  <si>
    <t>2117330624</t>
  </si>
  <si>
    <t>9386883960</t>
  </si>
  <si>
    <t>1292046165</t>
  </si>
  <si>
    <t>COMISSIONISTAS</t>
  </si>
  <si>
    <t>BROKERS</t>
  </si>
  <si>
    <t>TOTAL</t>
  </si>
  <si>
    <t>COMISSÃO</t>
  </si>
  <si>
    <t>CJT-187496603</t>
  </si>
  <si>
    <t>CJT-188856753</t>
  </si>
  <si>
    <t>CJT-184501583</t>
  </si>
  <si>
    <t>CJT-187374748</t>
  </si>
  <si>
    <t>CJT-186080729</t>
  </si>
  <si>
    <t>CJT-177953837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</si>
</sst>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816]d/mmm;@"/>
    <numFmt numFmtId="165" formatCode="#,##0.00\ &quot;€&quot;"/>
    <numFmt numFmtId="166" formatCode="#,##0.00\ _€"/>
  </numFmts>
  <fonts count="2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E9713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E97132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9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18" fillId="0" borderId="0" xfId="0" applyNumberFormat="1" applyFont="1" applyAlignment="1">
      <alignment wrapText="1"/>
    </xf>
    <xf numFmtId="164" fontId="19" fillId="0" borderId="0" xfId="0" applyNumberFormat="1" applyFont="1" applyAlignment="1">
      <alignment horizontal="center" vertical="center" wrapText="1"/>
    </xf>
    <xf numFmtId="164" fontId="18" fillId="0" borderId="0" xfId="0" applyNumberFormat="1" applyFont="1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applyNumberFormat="1"/>
    <xf numFmtId="2" fontId="19" fillId="0" borderId="0" xfId="0" applyNumberFormat="1" applyFont="1" applyAlignment="1">
      <alignment horizontal="center" vertical="center" wrapText="1"/>
    </xf>
    <xf numFmtId="2" fontId="18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2" fontId="0" fillId="0" borderId="0" xfId="0" applyNumberFormat="1"/>
    <xf numFmtId="0" fontId="22" fillId="0" borderId="0" xfId="0" applyFont="1"/>
    <xf numFmtId="165" fontId="22" fillId="0" borderId="0" xfId="0" applyNumberFormat="1" applyFont="1"/>
    <xf numFmtId="0" fontId="22" fillId="35" borderId="0" xfId="0" applyFont="1" applyFill="1" applyAlignment="1">
      <alignment horizontal="left" vertical="center"/>
    </xf>
    <xf numFmtId="166" fontId="22" fillId="35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166" fontId="22" fillId="0" borderId="0" xfId="0" applyNumberFormat="1" applyFont="1" applyAlignment="1">
      <alignment horizontal="center" vertical="center"/>
    </xf>
    <xf numFmtId="166" fontId="22" fillId="0" borderId="0" xfId="0" applyNumberFormat="1" applyFont="1"/>
    <xf numFmtId="0" fontId="23" fillId="34" borderId="0" xfId="0" applyFont="1" applyFill="1" applyAlignment="1">
      <alignment vertical="center"/>
    </xf>
    <xf numFmtId="166" fontId="24" fillId="0" borderId="0" xfId="0" applyNumberFormat="1" applyFont="1" applyAlignment="1">
      <alignment horizontal="center" vertical="center"/>
    </xf>
    <xf numFmtId="0" fontId="25" fillId="36" borderId="0" xfId="0" applyFont="1" applyFill="1"/>
    <xf numFmtId="0" fontId="0" fillId="37" borderId="0" xfId="0" applyFill="1"/>
    <xf numFmtId="0" fontId="0" fillId="0" borderId="0" xfId="0" applyAlignment="1">
      <alignment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/>
    <xf numFmtId="1" fontId="16" fillId="0" borderId="0" xfId="0" applyNumberFormat="1" applyFont="1"/>
    <xf numFmtId="0" fontId="19" fillId="38" borderId="0" xfId="0" applyFont="1" applyFill="1" applyAlignment="1">
      <alignment horizontal="center" vertical="center"/>
    </xf>
    <xf numFmtId="0" fontId="27" fillId="0" borderId="0" xfId="0" applyFont="1"/>
    <xf numFmtId="0" fontId="26" fillId="38" borderId="0" xfId="0" applyFont="1" applyFill="1" applyAlignment="1">
      <alignment horizontal="center" vertical="center" wrapText="1"/>
    </xf>
    <xf numFmtId="0" fontId="26" fillId="39" borderId="0" xfId="0" applyFont="1" applyFill="1" applyAlignment="1">
      <alignment horizontal="center" vertical="center" wrapText="1"/>
    </xf>
    <xf numFmtId="0" fontId="20" fillId="33" borderId="0" xfId="0" applyFont="1" applyFill="1" applyAlignment="1">
      <alignment horizontal="center" vertical="center" wrapText="1"/>
    </xf>
    <xf numFmtId="17" fontId="21" fillId="34" borderId="0" xfId="0" applyNumberFormat="1" applyFont="1" applyFill="1" applyAlignment="1">
      <alignment horizontal="center" vertical="center"/>
    </xf>
    <xf numFmtId="0" fontId="21" fillId="34" borderId="0" xfId="0" applyFont="1" applyFill="1" applyAlignment="1">
      <alignment horizontal="center" vertical="center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09617717724862"/>
          <c:y val="5.1172707889125799E-2"/>
          <c:w val="0.87490394988969922"/>
          <c:h val="0.89220767716535432"/>
        </c:manualLayout>
      </c:layout>
      <c:barChart>
        <c:barDir val="col"/>
        <c:grouping val="clustered"/>
        <c:varyColors val="0"/>
        <c:ser>
          <c:idx val="0"/>
          <c:order val="0"/>
          <c:tx>
            <c:v>2024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'[1]AP+API-WEB+BROKERS'!$I$4:$I$7</c:f>
              <c:strCache>
                <c:ptCount val="4"/>
                <c:pt idx="0">
                  <c:v>COMISSIONISTAS</c:v>
                </c:pt>
                <c:pt idx="1">
                  <c:v>AP</c:v>
                </c:pt>
                <c:pt idx="2">
                  <c:v>API-WEB</c:v>
                </c:pt>
                <c:pt idx="3">
                  <c:v>BROKERS</c:v>
                </c:pt>
              </c:strCache>
            </c:strRef>
          </c:cat>
          <c:val>
            <c:numRef>
              <c:f>'[1]AP+API-WEB+BROKERS'!$G$4:$G$9</c:f>
              <c:numCache>
                <c:formatCode>General</c:formatCode>
                <c:ptCount val="6"/>
                <c:pt idx="0">
                  <c:v>8040</c:v>
                </c:pt>
                <c:pt idx="1">
                  <c:v>9433</c:v>
                </c:pt>
                <c:pt idx="2">
                  <c:v>4635.3790000000008</c:v>
                </c:pt>
                <c:pt idx="3">
                  <c:v>19476.990000000002</c:v>
                </c:pt>
                <c:pt idx="5">
                  <c:v>41585.369000000006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DF-F947-8C4E-C2CC66933B25}"/>
            </c:ext>
          </c:extLst>
        </c:ser>
        <c:ser>
          <c:idx val="1"/>
          <c:order val="1"/>
          <c:tx>
            <c:v>2023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'[1]AP+API-WEB+BROKERS'!$I$4:$I$7</c:f>
              <c:strCache>
                <c:ptCount val="4"/>
                <c:pt idx="0">
                  <c:v>COMISSIONISTAS</c:v>
                </c:pt>
                <c:pt idx="1">
                  <c:v>AP</c:v>
                </c:pt>
                <c:pt idx="2">
                  <c:v>API-WEB</c:v>
                </c:pt>
                <c:pt idx="3">
                  <c:v>BROKERS</c:v>
                </c:pt>
              </c:strCache>
            </c:strRef>
          </c:cat>
          <c:val>
            <c:numRef>
              <c:f>'[1]AP+API-WEB+BROKERS'!$J$4:$J$9</c:f>
              <c:numCache>
                <c:formatCode>General</c:formatCode>
                <c:ptCount val="6"/>
                <c:pt idx="0">
                  <c:v>25855</c:v>
                </c:pt>
                <c:pt idx="1">
                  <c:v>19220.89</c:v>
                </c:pt>
                <c:pt idx="2">
                  <c:v>10167.81</c:v>
                </c:pt>
                <c:pt idx="3">
                  <c:v>16489.969999999994</c:v>
                </c:pt>
                <c:pt idx="5">
                  <c:v>71733.669999999984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DF-F947-8C4E-C2CC66933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237151"/>
        <c:axId val="197844703"/>
      </c:barChart>
      <c:catAx>
        <c:axId val="5223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7844703"/>
        <c:crosses val="autoZero"/>
        <c:auto val="1"/>
        <c:lblAlgn val="ctr"/>
        <c:lblOffset val="100"/>
        <c:noMultiLvlLbl val="0"/>
      </c:catAx>
      <c:valAx>
        <c:axId val="19784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223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09617717724862"/>
          <c:y val="5.1172707889125799E-2"/>
          <c:w val="0.87490394988969922"/>
          <c:h val="0.89220767716535432"/>
        </c:manualLayout>
      </c:layout>
      <c:barChart>
        <c:barDir val="col"/>
        <c:grouping val="clustered"/>
        <c:varyColors val="0"/>
        <c:ser>
          <c:idx val="0"/>
          <c:order val="0"/>
          <c:tx>
            <c:v>2024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'[1]AP+API-WEB+BROKERS'!$I$4:$I$7</c:f>
              <c:strCache>
                <c:ptCount val="4"/>
                <c:pt idx="0">
                  <c:v>COMISSIONISTAS</c:v>
                </c:pt>
                <c:pt idx="1">
                  <c:v>AP</c:v>
                </c:pt>
                <c:pt idx="2">
                  <c:v>API-WEB</c:v>
                </c:pt>
                <c:pt idx="3">
                  <c:v>BROKERS</c:v>
                </c:pt>
              </c:strCache>
            </c:strRef>
          </c:cat>
          <c:val>
            <c:numRef>
              <c:f>'[1]AP+API-WEB+BROKERS'!$G$4:$G$9</c:f>
              <c:numCache>
                <c:formatCode>General</c:formatCode>
                <c:ptCount val="6"/>
                <c:pt idx="0">
                  <c:v>8040</c:v>
                </c:pt>
                <c:pt idx="1">
                  <c:v>9433</c:v>
                </c:pt>
                <c:pt idx="2">
                  <c:v>4635.3790000000008</c:v>
                </c:pt>
                <c:pt idx="3">
                  <c:v>19476.990000000002</c:v>
                </c:pt>
                <c:pt idx="5">
                  <c:v>41585.369000000006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F-E744-A528-7CB82F919D44}"/>
            </c:ext>
          </c:extLst>
        </c:ser>
        <c:ser>
          <c:idx val="1"/>
          <c:order val="1"/>
          <c:tx>
            <c:v>2023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'[1]AP+API-WEB+BROKERS'!$I$4:$I$7</c:f>
              <c:strCache>
                <c:ptCount val="4"/>
                <c:pt idx="0">
                  <c:v>COMISSIONISTAS</c:v>
                </c:pt>
                <c:pt idx="1">
                  <c:v>AP</c:v>
                </c:pt>
                <c:pt idx="2">
                  <c:v>API-WEB</c:v>
                </c:pt>
                <c:pt idx="3">
                  <c:v>BROKERS</c:v>
                </c:pt>
              </c:strCache>
            </c:strRef>
          </c:cat>
          <c:val>
            <c:numRef>
              <c:f>'[1]AP+API-WEB+BROKERS'!$J$4:$J$9</c:f>
              <c:numCache>
                <c:formatCode>General</c:formatCode>
                <c:ptCount val="6"/>
                <c:pt idx="0">
                  <c:v>25855</c:v>
                </c:pt>
                <c:pt idx="1">
                  <c:v>19220.89</c:v>
                </c:pt>
                <c:pt idx="2">
                  <c:v>10167.81</c:v>
                </c:pt>
                <c:pt idx="3">
                  <c:v>16489.969999999994</c:v>
                </c:pt>
                <c:pt idx="5">
                  <c:v>71733.669999999984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F-E744-A528-7CB82F919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237151"/>
        <c:axId val="197844703"/>
      </c:barChart>
      <c:catAx>
        <c:axId val="5223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7844703"/>
        <c:crosses val="autoZero"/>
        <c:auto val="1"/>
        <c:lblAlgn val="ctr"/>
        <c:lblOffset val="100"/>
        <c:noMultiLvlLbl val="0"/>
      </c:catAx>
      <c:valAx>
        <c:axId val="19784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223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10</xdr:row>
      <xdr:rowOff>0</xdr:rowOff>
    </xdr:from>
    <xdr:to>
      <xdr:col>5</xdr:col>
      <xdr:colOff>12700</xdr:colOff>
      <xdr:row>28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93CB262-1800-8043-90F4-1FA32FCC28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12700</xdr:colOff>
      <xdr:row>10</xdr:row>
      <xdr:rowOff>0</xdr:rowOff>
    </xdr:from>
    <xdr:to>
      <xdr:col>10</xdr:col>
      <xdr:colOff>12700</xdr:colOff>
      <xdr:row>31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22930C9-B2DB-AE47-978D-DE778BE476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filipepacheco/Library/Mobile%20Documents/com~apple~CloudDocs/Auto%20Prudente/CM/CM-04.xlsx" TargetMode="External"/><Relationship Id="rId1" Type="http://schemas.openxmlformats.org/officeDocument/2006/relationships/externalLinkPath" Target="/Users/filipepacheco/Library/Mobile%20Documents/com~apple~CloudDocs/Auto%20Prudente/CM/CM-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issionistas"/>
      <sheetName val="AP+API-WEB+BROKERS"/>
      <sheetName val="PTO"/>
    </sheetNames>
    <sheetDataSet>
      <sheetData sheetId="0"/>
      <sheetData sheetId="1">
        <row r="4">
          <cell r="G4">
            <v>8040</v>
          </cell>
          <cell r="I4" t="str">
            <v>COMISSIONISTAS</v>
          </cell>
          <cell r="J4">
            <v>25855</v>
          </cell>
        </row>
        <row r="5">
          <cell r="G5">
            <v>9433</v>
          </cell>
          <cell r="I5" t="str">
            <v>AP</v>
          </cell>
          <cell r="J5">
            <v>19220.89</v>
          </cell>
        </row>
        <row r="6">
          <cell r="G6">
            <v>4635.3790000000008</v>
          </cell>
          <cell r="I6" t="str">
            <v>API-WEB</v>
          </cell>
          <cell r="J6">
            <v>10167.81</v>
          </cell>
        </row>
        <row r="7">
          <cell r="G7">
            <v>19476.990000000002</v>
          </cell>
          <cell r="I7" t="str">
            <v>BROKERS</v>
          </cell>
          <cell r="J7">
            <v>16489.969999999994</v>
          </cell>
        </row>
        <row r="9">
          <cell r="G9">
            <v>41585.369000000006</v>
          </cell>
          <cell r="J9">
            <v>71733.669999999984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D36DF-C0A6-2C4A-AD7B-1E44C5478806}">
  <dimension ref="A1:G72"/>
  <sheetViews>
    <sheetView tabSelected="1" workbookViewId="0">
      <selection activeCell="J31" sqref="J31"/>
    </sheetView>
  </sheetViews>
  <sheetFormatPr baseColWidth="10" defaultColWidth="8.83203125" defaultRowHeight="16" x14ac:dyDescent="0.2"/>
  <cols>
    <col min="1" max="1" width="15.1640625" customWidth="1"/>
    <col min="2" max="2" width="15.33203125" style="7" customWidth="1"/>
    <col min="3" max="3" width="4" bestFit="1" customWidth="1"/>
    <col min="4" max="4" width="17.5" style="11" customWidth="1"/>
    <col min="5" max="5" width="8.83203125" style="26"/>
    <col min="7" max="7" width="12.33203125" style="23" customWidth="1"/>
  </cols>
  <sheetData>
    <row r="1" spans="1:7" x14ac:dyDescent="0.2">
      <c r="A1" s="1" t="s">
        <v>0</v>
      </c>
      <c r="B1" s="4" t="s">
        <v>1</v>
      </c>
      <c r="C1" s="1" t="s">
        <v>2</v>
      </c>
      <c r="D1" s="8" t="s">
        <v>3</v>
      </c>
    </row>
    <row r="2" spans="1:7" ht="24" customHeight="1" x14ac:dyDescent="0.2">
      <c r="A2" s="30" t="s">
        <v>92</v>
      </c>
      <c r="B2" s="30"/>
      <c r="C2" s="30"/>
      <c r="D2" s="30"/>
      <c r="E2" s="30"/>
      <c r="G2" s="28" t="s">
        <v>274</v>
      </c>
    </row>
    <row r="3" spans="1:7" x14ac:dyDescent="0.2">
      <c r="A3" s="2"/>
      <c r="B3" s="5">
        <v>45913.479166666664</v>
      </c>
      <c r="C3" s="3" t="s">
        <v>10</v>
      </c>
      <c r="D3" s="9">
        <v>230</v>
      </c>
      <c r="E3" s="26">
        <f>(D3/1.23)*G3</f>
        <v>28.04878048780488</v>
      </c>
      <c r="G3" s="24">
        <v>0.15</v>
      </c>
    </row>
    <row r="4" spans="1:7" x14ac:dyDescent="0.2">
      <c r="A4" s="2"/>
      <c r="B4" s="5">
        <v>45918</v>
      </c>
      <c r="C4" s="3" t="s">
        <v>96</v>
      </c>
      <c r="D4" s="9">
        <v>90</v>
      </c>
      <c r="E4" s="26">
        <f>(D4/1.23)*G3</f>
        <v>10.97560975609756</v>
      </c>
    </row>
    <row r="5" spans="1:7" x14ac:dyDescent="0.2">
      <c r="A5" s="2"/>
      <c r="B5" s="5">
        <v>45919.4375</v>
      </c>
      <c r="C5" s="3" t="s">
        <v>10</v>
      </c>
      <c r="D5" s="9">
        <v>180</v>
      </c>
      <c r="E5" s="26">
        <f>(D5/1.23)*G3</f>
        <v>21.95121951219512</v>
      </c>
    </row>
    <row r="6" spans="1:7" x14ac:dyDescent="0.2">
      <c r="A6" s="2"/>
      <c r="B6" s="6"/>
      <c r="C6" s="2"/>
      <c r="D6" s="10"/>
      <c r="E6" s="27">
        <f>SUM(E3:E5)</f>
        <v>60.975609756097555</v>
      </c>
      <c r="G6" s="25"/>
    </row>
    <row r="7" spans="1:7" ht="24" customHeight="1" x14ac:dyDescent="0.2">
      <c r="A7" s="31" t="s">
        <v>221</v>
      </c>
      <c r="B7" s="31"/>
      <c r="C7" s="31"/>
      <c r="D7" s="31"/>
      <c r="E7" s="31"/>
    </row>
    <row r="8" spans="1:7" x14ac:dyDescent="0.2">
      <c r="A8" s="2"/>
      <c r="B8" s="5">
        <v>45915.729166666664</v>
      </c>
      <c r="C8" s="3" t="s">
        <v>73</v>
      </c>
      <c r="D8" s="9">
        <v>110</v>
      </c>
      <c r="E8" s="26">
        <f>(D8/1.23)*G3</f>
        <v>13.414634146341465</v>
      </c>
    </row>
    <row r="9" spans="1:7" x14ac:dyDescent="0.2">
      <c r="A9" s="2"/>
      <c r="B9" s="5">
        <v>45924.729166666664</v>
      </c>
      <c r="C9" s="3" t="s">
        <v>95</v>
      </c>
      <c r="D9" s="9">
        <v>110</v>
      </c>
      <c r="E9" s="26">
        <f>(D9/1.23)*G3</f>
        <v>13.414634146341465</v>
      </c>
      <c r="G9" s="25"/>
    </row>
    <row r="10" spans="1:7" x14ac:dyDescent="0.2">
      <c r="A10" s="2"/>
      <c r="B10" s="6"/>
      <c r="C10" s="2"/>
      <c r="D10" s="10"/>
      <c r="E10" s="27">
        <f>SUM(E8:E9)</f>
        <v>26.829268292682929</v>
      </c>
    </row>
    <row r="11" spans="1:7" ht="24" customHeight="1" x14ac:dyDescent="0.2">
      <c r="A11" s="31" t="s">
        <v>222</v>
      </c>
      <c r="B11" s="31"/>
      <c r="C11" s="31"/>
      <c r="D11" s="31"/>
      <c r="E11" s="31"/>
    </row>
    <row r="12" spans="1:7" x14ac:dyDescent="0.2">
      <c r="A12" s="2"/>
      <c r="B12" s="5">
        <v>45930.708333333336</v>
      </c>
      <c r="C12" s="3" t="s">
        <v>95</v>
      </c>
      <c r="D12" s="9">
        <v>80</v>
      </c>
      <c r="E12" s="26">
        <f>(D12/1.23)*G3</f>
        <v>9.7560975609756095</v>
      </c>
      <c r="G12" s="25"/>
    </row>
    <row r="13" spans="1:7" x14ac:dyDescent="0.2">
      <c r="A13" s="2"/>
      <c r="B13" s="6"/>
      <c r="C13" s="2"/>
      <c r="D13" s="10"/>
      <c r="E13" s="27">
        <f>SUM(E12)</f>
        <v>9.7560975609756095</v>
      </c>
    </row>
    <row r="14" spans="1:7" ht="24" customHeight="1" x14ac:dyDescent="0.2">
      <c r="A14" s="30" t="s">
        <v>240</v>
      </c>
      <c r="B14" s="30"/>
      <c r="C14" s="30"/>
      <c r="D14" s="30"/>
      <c r="E14" s="30"/>
    </row>
    <row r="15" spans="1:7" x14ac:dyDescent="0.2">
      <c r="A15" s="3" t="s">
        <v>241</v>
      </c>
      <c r="B15" s="5">
        <v>45906.447916666664</v>
      </c>
      <c r="C15" s="3" t="s">
        <v>96</v>
      </c>
      <c r="D15" s="9">
        <v>90</v>
      </c>
      <c r="E15" s="26">
        <f>(D15/1.23)*G3</f>
        <v>10.97560975609756</v>
      </c>
    </row>
    <row r="16" spans="1:7" x14ac:dyDescent="0.2">
      <c r="A16" s="3" t="s">
        <v>242</v>
      </c>
      <c r="B16" s="5">
        <v>45926.458333333336</v>
      </c>
      <c r="C16" s="3" t="s">
        <v>83</v>
      </c>
      <c r="D16" s="9">
        <v>150</v>
      </c>
      <c r="E16" s="26">
        <f>(D16/1.23)*G3</f>
        <v>18.292682926829269</v>
      </c>
    </row>
    <row r="17" spans="1:7" x14ac:dyDescent="0.2">
      <c r="A17" s="2"/>
      <c r="B17" s="6"/>
      <c r="C17" s="2"/>
      <c r="D17" s="10"/>
      <c r="E17" s="27">
        <f>SUM(E15:E16)</f>
        <v>29.268292682926827</v>
      </c>
    </row>
    <row r="18" spans="1:7" ht="24" customHeight="1" x14ac:dyDescent="0.2">
      <c r="A18" s="30" t="s">
        <v>243</v>
      </c>
      <c r="B18" s="30"/>
      <c r="C18" s="30"/>
      <c r="D18" s="30"/>
      <c r="E18" s="30"/>
      <c r="G18" s="25"/>
    </row>
    <row r="19" spans="1:7" x14ac:dyDescent="0.2">
      <c r="A19" s="2"/>
      <c r="B19" s="5">
        <v>45901.4375</v>
      </c>
      <c r="C19" s="3" t="s">
        <v>96</v>
      </c>
      <c r="D19" s="9">
        <v>90</v>
      </c>
      <c r="E19" s="26">
        <f>(D19/1.23)*G3</f>
        <v>10.97560975609756</v>
      </c>
    </row>
    <row r="20" spans="1:7" x14ac:dyDescent="0.2">
      <c r="A20" s="2"/>
      <c r="B20" s="5">
        <v>45902.479166666664</v>
      </c>
      <c r="C20" s="3" t="s">
        <v>95</v>
      </c>
      <c r="D20" s="9">
        <v>140</v>
      </c>
      <c r="E20" s="26">
        <f>(D20/1.23)*G3</f>
        <v>17.073170731707318</v>
      </c>
    </row>
    <row r="21" spans="1:7" x14ac:dyDescent="0.2">
      <c r="A21" s="2"/>
      <c r="B21" s="5">
        <v>45915.4375</v>
      </c>
      <c r="C21" s="3" t="s">
        <v>65</v>
      </c>
      <c r="D21" s="9">
        <v>170</v>
      </c>
      <c r="E21" s="26">
        <f>(D21/1.23)*G3</f>
        <v>20.73170731707317</v>
      </c>
    </row>
    <row r="22" spans="1:7" x14ac:dyDescent="0.2">
      <c r="A22" s="2"/>
      <c r="B22" s="5">
        <v>45921.395833333336</v>
      </c>
      <c r="C22" s="3" t="s">
        <v>96</v>
      </c>
      <c r="D22" s="9">
        <v>115</v>
      </c>
      <c r="E22" s="26">
        <f>(D22/1.23)*G3</f>
        <v>14.02439024390244</v>
      </c>
    </row>
    <row r="23" spans="1:7" x14ac:dyDescent="0.2">
      <c r="A23" s="2"/>
      <c r="B23" s="5">
        <v>45922.416666666664</v>
      </c>
      <c r="C23" s="3" t="s">
        <v>95</v>
      </c>
      <c r="D23" s="9">
        <v>80</v>
      </c>
      <c r="E23" s="26">
        <f>(D23/1.23)*G3</f>
        <v>9.7560975609756095</v>
      </c>
    </row>
    <row r="24" spans="1:7" x14ac:dyDescent="0.2">
      <c r="A24" s="2"/>
      <c r="B24" s="5">
        <v>45924.395833333336</v>
      </c>
      <c r="C24" s="3" t="s">
        <v>96</v>
      </c>
      <c r="D24" s="9">
        <v>115</v>
      </c>
      <c r="E24" s="26">
        <f>(D24/1.23)*G3</f>
        <v>14.02439024390244</v>
      </c>
    </row>
    <row r="25" spans="1:7" x14ac:dyDescent="0.2">
      <c r="A25" s="2"/>
      <c r="B25" s="5">
        <v>45928.416666666664</v>
      </c>
      <c r="C25" s="3" t="s">
        <v>80</v>
      </c>
      <c r="D25" s="9">
        <v>270</v>
      </c>
      <c r="E25" s="26">
        <f>(D25/1.23)*G3</f>
        <v>32.926829268292686</v>
      </c>
    </row>
    <row r="26" spans="1:7" x14ac:dyDescent="0.2">
      <c r="A26" s="2"/>
      <c r="B26" s="5">
        <v>45929.4375</v>
      </c>
      <c r="C26" s="3" t="s">
        <v>95</v>
      </c>
      <c r="D26" s="9">
        <v>80</v>
      </c>
      <c r="E26" s="26">
        <f>(D26/1.23)*G3</f>
        <v>9.7560975609756095</v>
      </c>
    </row>
    <row r="27" spans="1:7" x14ac:dyDescent="0.2">
      <c r="A27" s="2"/>
      <c r="B27" s="6"/>
      <c r="C27" s="2"/>
      <c r="D27" s="10"/>
      <c r="E27" s="27">
        <f>SUM(E19:E26)</f>
        <v>129.26829268292684</v>
      </c>
    </row>
    <row r="28" spans="1:7" ht="24" customHeight="1" x14ac:dyDescent="0.2">
      <c r="A28" s="30" t="s">
        <v>244</v>
      </c>
      <c r="B28" s="30"/>
      <c r="C28" s="30"/>
      <c r="D28" s="30"/>
      <c r="E28" s="30"/>
    </row>
    <row r="29" spans="1:7" x14ac:dyDescent="0.2">
      <c r="A29" s="2"/>
      <c r="B29" s="5">
        <v>45909.479166666664</v>
      </c>
      <c r="C29" s="3" t="s">
        <v>96</v>
      </c>
      <c r="D29" s="9">
        <v>90</v>
      </c>
      <c r="E29" s="26">
        <f>(D29/1.23)*G3</f>
        <v>10.97560975609756</v>
      </c>
    </row>
    <row r="30" spans="1:7" x14ac:dyDescent="0.2">
      <c r="A30" s="2"/>
      <c r="B30" s="6"/>
      <c r="C30" s="2"/>
      <c r="D30" s="10"/>
      <c r="E30" s="27">
        <f>SUM(E29)</f>
        <v>10.97560975609756</v>
      </c>
    </row>
    <row r="31" spans="1:7" ht="24" customHeight="1" x14ac:dyDescent="0.2">
      <c r="A31" s="30" t="s">
        <v>245</v>
      </c>
      <c r="B31" s="30"/>
      <c r="C31" s="30"/>
      <c r="D31" s="30"/>
      <c r="E31" s="30"/>
    </row>
    <row r="32" spans="1:7" x14ac:dyDescent="0.2">
      <c r="A32" s="2"/>
      <c r="B32" s="5">
        <v>45908.5</v>
      </c>
      <c r="C32" s="3" t="s">
        <v>96</v>
      </c>
      <c r="D32" s="9">
        <v>110</v>
      </c>
      <c r="E32" s="26">
        <f>(D32/1.23)*G3</f>
        <v>13.414634146341465</v>
      </c>
    </row>
    <row r="33" spans="1:7" x14ac:dyDescent="0.2">
      <c r="A33" s="3" t="s">
        <v>246</v>
      </c>
      <c r="B33" s="5">
        <v>45910.489583333336</v>
      </c>
      <c r="C33" s="3" t="s">
        <v>96</v>
      </c>
      <c r="D33" s="9">
        <v>90</v>
      </c>
      <c r="E33" s="26">
        <f>(D33/1.23)*G3</f>
        <v>10.97560975609756</v>
      </c>
    </row>
    <row r="34" spans="1:7" x14ac:dyDescent="0.2">
      <c r="A34" s="2"/>
      <c r="B34" s="6"/>
      <c r="C34" s="2"/>
      <c r="D34" s="10"/>
      <c r="E34" s="27">
        <f>SUM(E32:E33)</f>
        <v>24.390243902439025</v>
      </c>
      <c r="G34" s="25"/>
    </row>
    <row r="35" spans="1:7" ht="24" customHeight="1" x14ac:dyDescent="0.2">
      <c r="A35" s="30" t="s">
        <v>247</v>
      </c>
      <c r="B35" s="30"/>
      <c r="C35" s="30"/>
      <c r="D35" s="30"/>
      <c r="E35" s="30"/>
    </row>
    <row r="36" spans="1:7" x14ac:dyDescent="0.2">
      <c r="A36" s="2"/>
      <c r="B36" s="5">
        <v>45908.625</v>
      </c>
      <c r="C36" s="3" t="s">
        <v>65</v>
      </c>
      <c r="D36" s="9">
        <v>170</v>
      </c>
      <c r="E36" s="26">
        <f>(D36/1.23)*G3</f>
        <v>20.73170731707317</v>
      </c>
    </row>
    <row r="37" spans="1:7" x14ac:dyDescent="0.2">
      <c r="A37" s="2"/>
      <c r="B37" s="5">
        <v>45916.395833333336</v>
      </c>
      <c r="C37" s="3" t="s">
        <v>95</v>
      </c>
      <c r="D37" s="9">
        <v>85</v>
      </c>
      <c r="E37" s="26">
        <f>(D37/1.23)*G3</f>
        <v>10.365853658536585</v>
      </c>
      <c r="G37" s="25"/>
    </row>
    <row r="38" spans="1:7" x14ac:dyDescent="0.2">
      <c r="A38" s="2"/>
      <c r="B38" s="5">
        <v>45924.416666666664</v>
      </c>
      <c r="C38" s="3" t="s">
        <v>95</v>
      </c>
      <c r="D38" s="9">
        <v>85</v>
      </c>
      <c r="E38" s="26">
        <f>(D38/1.23)*G3</f>
        <v>10.365853658536585</v>
      </c>
    </row>
    <row r="39" spans="1:7" x14ac:dyDescent="0.2">
      <c r="A39" s="2"/>
      <c r="B39" s="5">
        <v>45928.4375</v>
      </c>
      <c r="C39" s="3" t="s">
        <v>95</v>
      </c>
      <c r="D39" s="9">
        <v>85</v>
      </c>
      <c r="E39" s="26">
        <f>(D39/1.23)*G3</f>
        <v>10.365853658536585</v>
      </c>
    </row>
    <row r="40" spans="1:7" x14ac:dyDescent="0.2">
      <c r="A40" s="2"/>
      <c r="B40" s="5">
        <v>45929.395833333336</v>
      </c>
      <c r="C40" s="3" t="s">
        <v>12</v>
      </c>
      <c r="D40" s="9">
        <v>115</v>
      </c>
      <c r="E40" s="26">
        <f>(D40/1.23)*G3</f>
        <v>14.02439024390244</v>
      </c>
    </row>
    <row r="41" spans="1:7" x14ac:dyDescent="0.2">
      <c r="A41" s="2"/>
      <c r="B41" s="6"/>
      <c r="C41" s="2"/>
      <c r="D41" s="10"/>
      <c r="E41" s="27">
        <f>SUM(E36:E40)</f>
        <v>65.853658536585371</v>
      </c>
      <c r="G41" s="25"/>
    </row>
    <row r="42" spans="1:7" ht="24" customHeight="1" x14ac:dyDescent="0.2">
      <c r="A42" s="30" t="s">
        <v>248</v>
      </c>
      <c r="B42" s="30"/>
      <c r="C42" s="30"/>
      <c r="D42" s="30"/>
      <c r="E42" s="30"/>
    </row>
    <row r="43" spans="1:7" x14ac:dyDescent="0.2">
      <c r="A43" s="2"/>
      <c r="B43" s="5">
        <v>45919.46875</v>
      </c>
      <c r="C43" s="3" t="s">
        <v>96</v>
      </c>
      <c r="D43" s="9">
        <v>90</v>
      </c>
      <c r="E43" s="26">
        <f>(D43/1.23)*G3</f>
        <v>10.97560975609756</v>
      </c>
    </row>
    <row r="44" spans="1:7" x14ac:dyDescent="0.2">
      <c r="A44" s="2"/>
      <c r="B44" s="6"/>
      <c r="C44" s="2"/>
      <c r="D44" s="10"/>
      <c r="E44" s="27">
        <f>SUM(E43)</f>
        <v>10.97560975609756</v>
      </c>
      <c r="G44" s="25"/>
    </row>
    <row r="45" spans="1:7" ht="24" customHeight="1" x14ac:dyDescent="0.2">
      <c r="A45" s="30" t="s">
        <v>249</v>
      </c>
      <c r="B45" s="30"/>
      <c r="C45" s="30"/>
      <c r="D45" s="30"/>
      <c r="E45" s="30"/>
    </row>
    <row r="46" spans="1:7" x14ac:dyDescent="0.2">
      <c r="A46" s="2"/>
      <c r="B46" s="5">
        <v>45921.458333333336</v>
      </c>
      <c r="C46" s="3" t="s">
        <v>96</v>
      </c>
      <c r="D46" s="9">
        <v>170</v>
      </c>
      <c r="E46" s="26">
        <f>(D46/1.23)*G3</f>
        <v>20.73170731707317</v>
      </c>
    </row>
    <row r="47" spans="1:7" x14ac:dyDescent="0.2">
      <c r="A47" s="2"/>
      <c r="B47" s="5">
        <v>45929.479166666664</v>
      </c>
      <c r="C47" s="3" t="s">
        <v>95</v>
      </c>
      <c r="D47" s="9">
        <v>125</v>
      </c>
      <c r="E47" s="26">
        <f>(D47/1.23)*G3</f>
        <v>15.243902439024389</v>
      </c>
    </row>
    <row r="48" spans="1:7" x14ac:dyDescent="0.2">
      <c r="A48" s="2"/>
      <c r="B48" s="6"/>
      <c r="C48" s="2"/>
      <c r="D48" s="10"/>
      <c r="E48" s="27">
        <f>SUM(E46:E47)</f>
        <v>35.975609756097555</v>
      </c>
    </row>
    <row r="49" spans="1:7" ht="24" customHeight="1" x14ac:dyDescent="0.2">
      <c r="A49" s="31" t="s">
        <v>250</v>
      </c>
      <c r="B49" s="31"/>
      <c r="C49" s="31"/>
      <c r="D49" s="31"/>
      <c r="E49" s="31"/>
    </row>
    <row r="50" spans="1:7" x14ac:dyDescent="0.2">
      <c r="A50" s="2"/>
      <c r="B50" s="5">
        <v>45901.395833333336</v>
      </c>
      <c r="C50" s="3" t="s">
        <v>96</v>
      </c>
      <c r="D50" s="9">
        <v>115</v>
      </c>
      <c r="E50" s="26">
        <f>(D50/1.23)*G3</f>
        <v>14.02439024390244</v>
      </c>
      <c r="G50" s="25"/>
    </row>
    <row r="51" spans="1:7" x14ac:dyDescent="0.2">
      <c r="A51" s="2"/>
      <c r="B51" s="5">
        <v>45907.416666666664</v>
      </c>
      <c r="C51" s="3" t="s">
        <v>96</v>
      </c>
      <c r="D51" s="9">
        <v>90</v>
      </c>
      <c r="E51" s="26">
        <f>(D51/1.23)*G3</f>
        <v>10.97560975609756</v>
      </c>
    </row>
    <row r="52" spans="1:7" x14ac:dyDescent="0.2">
      <c r="A52" s="2"/>
      <c r="B52" s="5">
        <v>45908.427083333336</v>
      </c>
      <c r="C52" s="3" t="s">
        <v>83</v>
      </c>
      <c r="D52" s="9">
        <v>90</v>
      </c>
      <c r="E52" s="26">
        <f>(D52/1.23)*G3</f>
        <v>10.97560975609756</v>
      </c>
    </row>
    <row r="53" spans="1:7" x14ac:dyDescent="0.2">
      <c r="A53" s="2"/>
      <c r="B53" s="5">
        <v>45916.438194444447</v>
      </c>
      <c r="C53" s="3" t="s">
        <v>83</v>
      </c>
      <c r="D53" s="9">
        <v>150</v>
      </c>
      <c r="E53" s="26">
        <f>(D53/1.23)*G3</f>
        <v>18.292682926829269</v>
      </c>
      <c r="G53" s="25"/>
    </row>
    <row r="54" spans="1:7" x14ac:dyDescent="0.2">
      <c r="A54" s="2"/>
      <c r="B54" s="5">
        <v>45929.416666666664</v>
      </c>
      <c r="C54" s="3" t="s">
        <v>96</v>
      </c>
      <c r="D54" s="9">
        <v>90</v>
      </c>
      <c r="E54" s="26">
        <f>(D54/1.23)*G3</f>
        <v>10.97560975609756</v>
      </c>
    </row>
    <row r="55" spans="1:7" x14ac:dyDescent="0.2">
      <c r="A55" s="2"/>
      <c r="B55" s="6"/>
      <c r="C55" s="2"/>
      <c r="D55" s="10"/>
      <c r="E55" s="27">
        <f>SUM(E50:E54)</f>
        <v>65.243902439024382</v>
      </c>
    </row>
    <row r="56" spans="1:7" ht="24" customHeight="1" x14ac:dyDescent="0.2">
      <c r="A56" s="30" t="s">
        <v>251</v>
      </c>
      <c r="B56" s="30"/>
      <c r="C56" s="30"/>
      <c r="D56" s="30"/>
      <c r="E56" s="30"/>
      <c r="G56" s="25"/>
    </row>
    <row r="57" spans="1:7" x14ac:dyDescent="0.2">
      <c r="A57" s="2"/>
      <c r="B57" s="5">
        <v>45920.416666666664</v>
      </c>
      <c r="C57" s="3" t="s">
        <v>83</v>
      </c>
      <c r="D57" s="9">
        <v>115</v>
      </c>
      <c r="E57" s="26">
        <f>(D57/1.23)*G3</f>
        <v>14.02439024390244</v>
      </c>
    </row>
    <row r="58" spans="1:7" x14ac:dyDescent="0.2">
      <c r="A58" s="2"/>
      <c r="B58" s="6"/>
      <c r="C58" s="2"/>
      <c r="D58" s="10"/>
      <c r="E58" s="27">
        <f>SUM(E57)</f>
        <v>14.02439024390244</v>
      </c>
    </row>
    <row r="59" spans="1:7" ht="24" customHeight="1" x14ac:dyDescent="0.2">
      <c r="A59" s="30" t="s">
        <v>252</v>
      </c>
      <c r="B59" s="30"/>
      <c r="C59" s="30"/>
      <c r="D59" s="30"/>
      <c r="E59" s="30"/>
    </row>
    <row r="60" spans="1:7" x14ac:dyDescent="0.2">
      <c r="A60" s="2"/>
      <c r="B60" s="5">
        <v>45925.4375</v>
      </c>
      <c r="C60" s="3" t="s">
        <v>94</v>
      </c>
      <c r="D60" s="9">
        <v>80</v>
      </c>
      <c r="E60" s="26">
        <f>(D60/1.23)*G3</f>
        <v>9.7560975609756095</v>
      </c>
    </row>
    <row r="61" spans="1:7" x14ac:dyDescent="0.2">
      <c r="A61" s="2"/>
      <c r="B61" s="6"/>
      <c r="C61" s="2"/>
      <c r="D61" s="10"/>
      <c r="E61" s="27">
        <f>SUM(E60)</f>
        <v>9.7560975609756095</v>
      </c>
    </row>
    <row r="62" spans="1:7" ht="24" customHeight="1" x14ac:dyDescent="0.2">
      <c r="A62" s="30" t="s">
        <v>253</v>
      </c>
      <c r="B62" s="30"/>
      <c r="C62" s="30"/>
      <c r="D62" s="30"/>
      <c r="E62" s="30"/>
    </row>
    <row r="63" spans="1:7" x14ac:dyDescent="0.2">
      <c r="A63" s="2"/>
      <c r="B63" s="5">
        <v>45901.417361111111</v>
      </c>
      <c r="C63" s="3" t="s">
        <v>96</v>
      </c>
      <c r="D63" s="9">
        <v>90</v>
      </c>
      <c r="E63" s="26">
        <f>(D63/1.23)*G3</f>
        <v>10.97560975609756</v>
      </c>
    </row>
    <row r="64" spans="1:7" x14ac:dyDescent="0.2">
      <c r="A64" s="2"/>
      <c r="B64" s="6"/>
      <c r="C64" s="2"/>
      <c r="D64" s="10"/>
      <c r="E64" s="27">
        <f>SUM(E63)</f>
        <v>10.97560975609756</v>
      </c>
    </row>
    <row r="65" spans="1:7" ht="24" customHeight="1" x14ac:dyDescent="0.2">
      <c r="A65" s="30" t="s">
        <v>254</v>
      </c>
      <c r="B65" s="30"/>
      <c r="C65" s="30"/>
      <c r="D65" s="30"/>
      <c r="E65" s="30"/>
      <c r="G65" s="25"/>
    </row>
    <row r="66" spans="1:7" x14ac:dyDescent="0.2">
      <c r="A66" s="2"/>
      <c r="B66" s="5">
        <v>45908.458333333336</v>
      </c>
      <c r="C66" s="3" t="s">
        <v>10</v>
      </c>
      <c r="D66" s="9">
        <v>230</v>
      </c>
      <c r="E66" s="26">
        <f>(D66/1.23)*G3</f>
        <v>28.04878048780488</v>
      </c>
    </row>
    <row r="67" spans="1:7" x14ac:dyDescent="0.2">
      <c r="A67" s="2"/>
      <c r="B67" s="5">
        <v>45917.489583333336</v>
      </c>
      <c r="C67" s="3" t="s">
        <v>255</v>
      </c>
      <c r="D67" s="9">
        <v>660</v>
      </c>
      <c r="E67" s="26">
        <f>(D67/1.23)*G3</f>
        <v>80.487804878048777</v>
      </c>
    </row>
    <row r="68" spans="1:7" x14ac:dyDescent="0.2">
      <c r="A68" s="2"/>
      <c r="B68" s="6"/>
      <c r="C68" s="2"/>
      <c r="D68" s="10"/>
      <c r="E68" s="27">
        <f>SUM(E66:E67)</f>
        <v>108.53658536585365</v>
      </c>
      <c r="G68" s="25"/>
    </row>
    <row r="69" spans="1:7" ht="24" customHeight="1" x14ac:dyDescent="0.2">
      <c r="A69" s="30" t="s">
        <v>256</v>
      </c>
      <c r="B69" s="30"/>
      <c r="C69" s="30"/>
      <c r="D69" s="30"/>
      <c r="E69" s="30"/>
    </row>
    <row r="70" spans="1:7" x14ac:dyDescent="0.2">
      <c r="A70" s="2"/>
      <c r="B70" s="5">
        <v>45912.458333333336</v>
      </c>
      <c r="C70" s="3" t="s">
        <v>73</v>
      </c>
      <c r="D70" s="9">
        <v>90</v>
      </c>
      <c r="E70" s="26">
        <f>(D70/1.23)*G3</f>
        <v>10.97560975609756</v>
      </c>
    </row>
    <row r="71" spans="1:7" x14ac:dyDescent="0.2">
      <c r="A71" s="2"/>
      <c r="B71" s="6"/>
      <c r="C71" s="2"/>
      <c r="D71" s="10"/>
      <c r="E71" s="27">
        <f>SUM(E70)</f>
        <v>10.97560975609756</v>
      </c>
    </row>
    <row r="72" spans="1:7" x14ac:dyDescent="0.2">
      <c r="A72" s="2"/>
      <c r="B72" s="6"/>
      <c r="C72" s="2"/>
      <c r="D72" s="10"/>
    </row>
  </sheetData>
  <mergeCells count="16">
    <mergeCell ref="A69:E69"/>
    <mergeCell ref="A59:E59"/>
    <mergeCell ref="A62:E62"/>
    <mergeCell ref="A65:E65"/>
    <mergeCell ref="A45:E45"/>
    <mergeCell ref="A49:E49"/>
    <mergeCell ref="A28:E28"/>
    <mergeCell ref="A31:E31"/>
    <mergeCell ref="A35:E35"/>
    <mergeCell ref="A42:E42"/>
    <mergeCell ref="A56:E56"/>
    <mergeCell ref="A2:E2"/>
    <mergeCell ref="A7:E7"/>
    <mergeCell ref="A11:E11"/>
    <mergeCell ref="A14:E14"/>
    <mergeCell ref="A18:E18"/>
  </mergeCell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4F839-FC9E-6148-AB86-32D07EE37485}">
  <dimension ref="A1:J317"/>
  <sheetViews>
    <sheetView workbookViewId="0">
      <selection activeCell="G9" sqref="G9"/>
    </sheetView>
  </sheetViews>
  <sheetFormatPr baseColWidth="10" defaultColWidth="8.83203125" defaultRowHeight="16" x14ac:dyDescent="0.2"/>
  <cols>
    <col min="1" max="1" width="15" bestFit="1" customWidth="1"/>
    <col min="2" max="2" width="15.1640625" style="7" bestFit="1" customWidth="1"/>
    <col min="3" max="3" width="4" bestFit="1" customWidth="1"/>
    <col min="4" max="4" width="17.33203125" style="11" bestFit="1" customWidth="1"/>
    <col min="6" max="6" width="14" customWidth="1"/>
    <col min="7" max="7" width="21.6640625" customWidth="1"/>
    <col min="9" max="10" width="18.5" customWidth="1"/>
  </cols>
  <sheetData>
    <row r="1" spans="1:10" x14ac:dyDescent="0.2">
      <c r="A1" s="1" t="s">
        <v>0</v>
      </c>
      <c r="B1" s="4" t="s">
        <v>1</v>
      </c>
      <c r="C1" s="1" t="s">
        <v>2</v>
      </c>
      <c r="D1" s="8" t="s">
        <v>3</v>
      </c>
    </row>
    <row r="2" spans="1:10" ht="18" customHeight="1" x14ac:dyDescent="0.2">
      <c r="A2" s="32" t="s">
        <v>4</v>
      </c>
      <c r="B2" s="32"/>
      <c r="C2" s="32"/>
      <c r="D2" s="32"/>
      <c r="F2" s="33">
        <v>45901</v>
      </c>
      <c r="G2" s="34"/>
      <c r="I2" s="33">
        <v>45536</v>
      </c>
      <c r="J2" s="34"/>
    </row>
    <row r="3" spans="1:10" x14ac:dyDescent="0.2">
      <c r="A3" s="3" t="s">
        <v>5</v>
      </c>
      <c r="B3" s="5">
        <v>45903.552083333336</v>
      </c>
      <c r="C3" s="3" t="s">
        <v>6</v>
      </c>
      <c r="D3" s="9">
        <v>247.2</v>
      </c>
      <c r="F3" s="12"/>
      <c r="G3" s="13"/>
      <c r="I3" s="12"/>
      <c r="J3" s="13"/>
    </row>
    <row r="4" spans="1:10" x14ac:dyDescent="0.2">
      <c r="A4" s="3" t="s">
        <v>7</v>
      </c>
      <c r="B4" s="5">
        <v>45903.572916666664</v>
      </c>
      <c r="C4" s="3" t="s">
        <v>8</v>
      </c>
      <c r="D4" s="9">
        <v>240.24</v>
      </c>
      <c r="F4" s="14" t="s">
        <v>271</v>
      </c>
      <c r="G4" s="15">
        <f>SUM(COMISSIONISTAS!D3:D4,COMISSIONISTAS!D8:D9,COMISSIONISTAS!D12,COMISSIONISTAS!D15:D16,COMISSIONISTAS!D19:D26,COMISSIONISTAS!D29,COMISSIONISTAS!D32:D33,COMISSIONISTAS!D36:D40,COMISSIONISTAS!D43,COMISSIONISTAS!D46:D47,COMISSIONISTAS!D51,COMISSIONISTAS!D50,COMISSIONISTAS!D52,COMISSIONISTAS!D53,COMISSIONISTAS!D54,COMISSIONISTAS!D57,COMISSIONISTAS!D60,COMISSIONISTAS!D63,COMISSIONISTAS!D66:D67,COMISSIONISTAS!D70)</f>
        <v>4935</v>
      </c>
      <c r="I4" s="14" t="s">
        <v>271</v>
      </c>
      <c r="J4" s="15">
        <v>5276.88</v>
      </c>
    </row>
    <row r="5" spans="1:10" x14ac:dyDescent="0.2">
      <c r="A5" s="3" t="s">
        <v>9</v>
      </c>
      <c r="B5" s="5">
        <v>45906.552083333336</v>
      </c>
      <c r="C5" s="3" t="s">
        <v>10</v>
      </c>
      <c r="D5" s="9">
        <v>376.96</v>
      </c>
      <c r="F5" s="16" t="s">
        <v>93</v>
      </c>
      <c r="G5" s="17">
        <f>SUM(D77:D151)</f>
        <v>13173.12</v>
      </c>
      <c r="I5" s="16" t="s">
        <v>93</v>
      </c>
      <c r="J5" s="17">
        <v>11475.25</v>
      </c>
    </row>
    <row r="6" spans="1:10" x14ac:dyDescent="0.2">
      <c r="A6" s="3" t="s">
        <v>11</v>
      </c>
      <c r="B6" s="5">
        <v>45906.791666666664</v>
      </c>
      <c r="C6" s="3" t="s">
        <v>12</v>
      </c>
      <c r="D6" s="9">
        <v>588.55999999999995</v>
      </c>
      <c r="F6" s="14" t="s">
        <v>99</v>
      </c>
      <c r="G6" s="15">
        <f>SUM(D154:D189)</f>
        <v>6390.8149999999969</v>
      </c>
      <c r="I6" s="14" t="s">
        <v>99</v>
      </c>
      <c r="J6" s="15">
        <v>8585.84</v>
      </c>
    </row>
    <row r="7" spans="1:10" x14ac:dyDescent="0.2">
      <c r="A7" s="3" t="s">
        <v>13</v>
      </c>
      <c r="B7" s="5">
        <v>45907.625</v>
      </c>
      <c r="C7" s="3" t="s">
        <v>10</v>
      </c>
      <c r="D7" s="9">
        <v>60.77</v>
      </c>
      <c r="F7" s="16" t="s">
        <v>272</v>
      </c>
      <c r="G7" s="17">
        <f>SUM(D3:D12,D15:D74,D192:D283,D286:D301,D304:D316)</f>
        <v>28895.600000000009</v>
      </c>
      <c r="I7" s="16" t="s">
        <v>272</v>
      </c>
      <c r="J7" s="17">
        <v>45672.9</v>
      </c>
    </row>
    <row r="8" spans="1:10" x14ac:dyDescent="0.2">
      <c r="A8" s="3" t="s">
        <v>14</v>
      </c>
      <c r="B8" s="5">
        <v>45913.708333333336</v>
      </c>
      <c r="C8" s="3" t="s">
        <v>8</v>
      </c>
      <c r="D8" s="9">
        <v>229.44</v>
      </c>
      <c r="F8" s="12"/>
      <c r="G8" s="18"/>
      <c r="I8" s="12"/>
      <c r="J8" s="18"/>
    </row>
    <row r="9" spans="1:10" x14ac:dyDescent="0.2">
      <c r="A9" s="3" t="s">
        <v>15</v>
      </c>
      <c r="B9" s="5">
        <v>45921.833333333336</v>
      </c>
      <c r="C9" s="3" t="s">
        <v>16</v>
      </c>
      <c r="D9" s="9">
        <v>538.20000000000005</v>
      </c>
      <c r="F9" s="19" t="s">
        <v>273</v>
      </c>
      <c r="G9" s="20">
        <f>SUM(G3:G7)</f>
        <v>53394.535000000003</v>
      </c>
      <c r="I9" s="19" t="s">
        <v>273</v>
      </c>
      <c r="J9" s="20">
        <f>SUM(J3:J7)</f>
        <v>71010.87</v>
      </c>
    </row>
    <row r="10" spans="1:10" x14ac:dyDescent="0.2">
      <c r="A10" s="3" t="s">
        <v>17</v>
      </c>
      <c r="B10" s="5">
        <v>45922.416666666664</v>
      </c>
      <c r="C10" s="3" t="s">
        <v>18</v>
      </c>
      <c r="D10" s="9">
        <v>194.67</v>
      </c>
    </row>
    <row r="11" spans="1:10" x14ac:dyDescent="0.2">
      <c r="A11" s="3" t="s">
        <v>19</v>
      </c>
      <c r="B11" s="5">
        <v>45927.458333333336</v>
      </c>
      <c r="C11" s="3" t="s">
        <v>20</v>
      </c>
      <c r="D11" s="9">
        <v>536.08000000000004</v>
      </c>
    </row>
    <row r="12" spans="1:10" x14ac:dyDescent="0.2">
      <c r="A12" s="3" t="s">
        <v>21</v>
      </c>
      <c r="B12" s="5">
        <v>45928.5</v>
      </c>
      <c r="C12" s="3" t="s">
        <v>10</v>
      </c>
      <c r="D12" s="9">
        <v>500.86</v>
      </c>
    </row>
    <row r="13" spans="1:10" x14ac:dyDescent="0.2">
      <c r="A13" s="2"/>
      <c r="B13" s="6"/>
      <c r="C13" s="2"/>
      <c r="D13" s="10"/>
    </row>
    <row r="14" spans="1:10" ht="18" customHeight="1" x14ac:dyDescent="0.2">
      <c r="A14" s="32" t="s">
        <v>22</v>
      </c>
      <c r="B14" s="32"/>
      <c r="C14" s="32"/>
      <c r="D14" s="32"/>
    </row>
    <row r="15" spans="1:10" x14ac:dyDescent="0.2">
      <c r="A15" s="3" t="s">
        <v>23</v>
      </c>
      <c r="B15" s="5">
        <v>45901.458333333336</v>
      </c>
      <c r="C15" s="3" t="s">
        <v>24</v>
      </c>
      <c r="D15" s="9">
        <v>228.69</v>
      </c>
    </row>
    <row r="16" spans="1:10" x14ac:dyDescent="0.2">
      <c r="A16" s="3" t="s">
        <v>25</v>
      </c>
      <c r="B16" s="5">
        <v>45901.479166666664</v>
      </c>
      <c r="C16" s="3" t="s">
        <v>16</v>
      </c>
      <c r="D16" s="9">
        <v>150.9</v>
      </c>
    </row>
    <row r="17" spans="1:4" x14ac:dyDescent="0.2">
      <c r="A17" s="3" t="s">
        <v>26</v>
      </c>
      <c r="B17" s="5">
        <v>45901.791666666664</v>
      </c>
      <c r="C17" s="3" t="s">
        <v>16</v>
      </c>
      <c r="D17" s="9">
        <v>72.7</v>
      </c>
    </row>
    <row r="18" spans="1:4" x14ac:dyDescent="0.2">
      <c r="A18" s="3" t="s">
        <v>27</v>
      </c>
      <c r="B18" s="5">
        <v>45902.416666666664</v>
      </c>
      <c r="C18" s="3" t="s">
        <v>20</v>
      </c>
      <c r="D18" s="9">
        <v>138</v>
      </c>
    </row>
    <row r="19" spans="1:4" x14ac:dyDescent="0.2">
      <c r="A19" s="3" t="s">
        <v>28</v>
      </c>
      <c r="B19" s="5">
        <v>45902.666666666664</v>
      </c>
      <c r="C19" s="3" t="s">
        <v>29</v>
      </c>
      <c r="D19" s="9">
        <v>194.37</v>
      </c>
    </row>
    <row r="20" spans="1:4" x14ac:dyDescent="0.2">
      <c r="A20" s="3" t="s">
        <v>30</v>
      </c>
      <c r="B20" s="5">
        <v>45903.416666666664</v>
      </c>
      <c r="C20" s="3" t="s">
        <v>29</v>
      </c>
      <c r="D20" s="9">
        <v>206.04</v>
      </c>
    </row>
    <row r="21" spans="1:4" x14ac:dyDescent="0.2">
      <c r="A21" s="3" t="s">
        <v>31</v>
      </c>
      <c r="B21" s="5">
        <v>45903.458333333336</v>
      </c>
      <c r="C21" s="3" t="s">
        <v>10</v>
      </c>
      <c r="D21" s="9">
        <v>136.38999999999999</v>
      </c>
    </row>
    <row r="22" spans="1:4" x14ac:dyDescent="0.2">
      <c r="A22" s="3" t="s">
        <v>32</v>
      </c>
      <c r="B22" s="5">
        <v>45903.729166666664</v>
      </c>
      <c r="C22" s="3" t="s">
        <v>12</v>
      </c>
      <c r="D22" s="9">
        <v>230.76</v>
      </c>
    </row>
    <row r="23" spans="1:4" x14ac:dyDescent="0.2">
      <c r="A23" s="3" t="s">
        <v>33</v>
      </c>
      <c r="B23" s="5">
        <v>45903.8125</v>
      </c>
      <c r="C23" s="3" t="s">
        <v>6</v>
      </c>
      <c r="D23" s="9">
        <v>214.35</v>
      </c>
    </row>
    <row r="24" spans="1:4" x14ac:dyDescent="0.2">
      <c r="A24" s="3" t="s">
        <v>34</v>
      </c>
      <c r="B24" s="5">
        <v>45904.541666666664</v>
      </c>
      <c r="C24" s="3" t="s">
        <v>12</v>
      </c>
      <c r="D24" s="9">
        <v>104.26</v>
      </c>
    </row>
    <row r="25" spans="1:4" x14ac:dyDescent="0.2">
      <c r="A25" s="3" t="s">
        <v>35</v>
      </c>
      <c r="B25" s="5">
        <v>45904.90625</v>
      </c>
      <c r="C25" s="3" t="s">
        <v>12</v>
      </c>
      <c r="D25" s="9">
        <v>99.36</v>
      </c>
    </row>
    <row r="26" spans="1:4" x14ac:dyDescent="0.2">
      <c r="A26" s="3" t="s">
        <v>36</v>
      </c>
      <c r="B26" s="5">
        <v>45905.645833333336</v>
      </c>
      <c r="C26" s="3" t="s">
        <v>37</v>
      </c>
      <c r="D26" s="9">
        <v>197.99</v>
      </c>
    </row>
    <row r="27" spans="1:4" x14ac:dyDescent="0.2">
      <c r="A27" s="3" t="s">
        <v>38</v>
      </c>
      <c r="B27" s="5">
        <v>45905.666666666664</v>
      </c>
      <c r="C27" s="3" t="s">
        <v>16</v>
      </c>
      <c r="D27" s="9">
        <v>124.9</v>
      </c>
    </row>
    <row r="28" spans="1:4" x14ac:dyDescent="0.2">
      <c r="A28" s="3" t="s">
        <v>39</v>
      </c>
      <c r="B28" s="5">
        <v>45906.416666666664</v>
      </c>
      <c r="C28" s="3" t="s">
        <v>10</v>
      </c>
      <c r="D28" s="9">
        <v>74.16</v>
      </c>
    </row>
    <row r="29" spans="1:4" x14ac:dyDescent="0.2">
      <c r="A29" s="3" t="s">
        <v>40</v>
      </c>
      <c r="B29" s="5">
        <v>45906.4375</v>
      </c>
      <c r="C29" s="3" t="s">
        <v>10</v>
      </c>
      <c r="D29" s="9">
        <v>75.599999999999994</v>
      </c>
    </row>
    <row r="30" spans="1:4" x14ac:dyDescent="0.2">
      <c r="A30" s="3" t="s">
        <v>41</v>
      </c>
      <c r="B30" s="5">
        <v>45906.488194444442</v>
      </c>
      <c r="C30" s="3" t="s">
        <v>18</v>
      </c>
      <c r="D30" s="9">
        <v>806.3</v>
      </c>
    </row>
    <row r="31" spans="1:4" x14ac:dyDescent="0.2">
      <c r="A31" s="3" t="s">
        <v>42</v>
      </c>
      <c r="B31" s="5">
        <v>45906.625</v>
      </c>
      <c r="C31" s="3" t="s">
        <v>10</v>
      </c>
      <c r="D31" s="9">
        <v>78.95</v>
      </c>
    </row>
    <row r="32" spans="1:4" x14ac:dyDescent="0.2">
      <c r="A32" s="3" t="s">
        <v>43</v>
      </c>
      <c r="B32" s="5">
        <v>45906.708333333336</v>
      </c>
      <c r="C32" s="3" t="s">
        <v>20</v>
      </c>
      <c r="D32" s="9">
        <v>800.66</v>
      </c>
    </row>
    <row r="33" spans="1:7" x14ac:dyDescent="0.2">
      <c r="A33" s="3" t="s">
        <v>44</v>
      </c>
      <c r="B33" s="5">
        <v>45906.90625</v>
      </c>
      <c r="C33" s="3" t="s">
        <v>10</v>
      </c>
      <c r="D33" s="9">
        <v>177.16</v>
      </c>
      <c r="F33" s="21"/>
      <c r="G33">
        <v>2024</v>
      </c>
    </row>
    <row r="34" spans="1:7" x14ac:dyDescent="0.2">
      <c r="A34" s="3" t="s">
        <v>45</v>
      </c>
      <c r="B34" s="5">
        <v>45907.375</v>
      </c>
      <c r="C34" s="3" t="s">
        <v>46</v>
      </c>
      <c r="D34" s="9">
        <v>174.24</v>
      </c>
      <c r="F34" s="22"/>
      <c r="G34">
        <v>2025</v>
      </c>
    </row>
    <row r="35" spans="1:7" x14ac:dyDescent="0.2">
      <c r="A35" s="3" t="s">
        <v>47</v>
      </c>
      <c r="B35" s="5">
        <v>45908.4375</v>
      </c>
      <c r="C35" s="3" t="s">
        <v>16</v>
      </c>
      <c r="D35" s="9">
        <v>484.01</v>
      </c>
    </row>
    <row r="36" spans="1:7" x14ac:dyDescent="0.2">
      <c r="A36" s="3" t="s">
        <v>48</v>
      </c>
      <c r="B36" s="5">
        <v>45908.489583333336</v>
      </c>
      <c r="C36" s="3" t="s">
        <v>49</v>
      </c>
      <c r="D36" s="9">
        <v>107.8</v>
      </c>
    </row>
    <row r="37" spans="1:7" x14ac:dyDescent="0.2">
      <c r="A37" s="3" t="s">
        <v>50</v>
      </c>
      <c r="B37" s="5">
        <v>45910.4375</v>
      </c>
      <c r="C37" s="3" t="s">
        <v>6</v>
      </c>
      <c r="D37" s="9">
        <v>170.72</v>
      </c>
    </row>
    <row r="38" spans="1:7" x14ac:dyDescent="0.2">
      <c r="A38" s="3" t="s">
        <v>51</v>
      </c>
      <c r="B38" s="5">
        <v>45911.625</v>
      </c>
      <c r="C38" s="3" t="s">
        <v>20</v>
      </c>
      <c r="D38" s="9">
        <v>143.4</v>
      </c>
    </row>
    <row r="39" spans="1:7" x14ac:dyDescent="0.2">
      <c r="A39" s="3" t="s">
        <v>52</v>
      </c>
      <c r="B39" s="5">
        <v>45911.645833333336</v>
      </c>
      <c r="C39" s="3" t="s">
        <v>12</v>
      </c>
      <c r="D39" s="9">
        <v>217.6</v>
      </c>
    </row>
    <row r="40" spans="1:7" x14ac:dyDescent="0.2">
      <c r="A40" s="3" t="s">
        <v>53</v>
      </c>
      <c r="B40" s="5">
        <v>45912.4375</v>
      </c>
      <c r="C40" s="3" t="s">
        <v>16</v>
      </c>
      <c r="D40" s="9">
        <v>538.20000000000005</v>
      </c>
    </row>
    <row r="41" spans="1:7" x14ac:dyDescent="0.2">
      <c r="A41" s="3" t="s">
        <v>54</v>
      </c>
      <c r="B41" s="5">
        <v>45912.822916666664</v>
      </c>
      <c r="C41" s="3" t="s">
        <v>49</v>
      </c>
      <c r="D41" s="9">
        <v>365.04</v>
      </c>
    </row>
    <row r="42" spans="1:7" x14ac:dyDescent="0.2">
      <c r="A42" s="3" t="s">
        <v>55</v>
      </c>
      <c r="B42" s="5">
        <v>45912.833333333336</v>
      </c>
      <c r="C42" s="3" t="s">
        <v>20</v>
      </c>
      <c r="D42" s="9">
        <v>191.52</v>
      </c>
    </row>
    <row r="43" spans="1:7" x14ac:dyDescent="0.2">
      <c r="A43" s="3" t="s">
        <v>56</v>
      </c>
      <c r="B43" s="5">
        <v>45913.447916666664</v>
      </c>
      <c r="C43" s="3" t="s">
        <v>29</v>
      </c>
      <c r="D43" s="9">
        <v>136.80000000000001</v>
      </c>
    </row>
    <row r="44" spans="1:7" x14ac:dyDescent="0.2">
      <c r="A44" s="3" t="s">
        <v>57</v>
      </c>
      <c r="B44" s="5">
        <v>45913.520833333336</v>
      </c>
      <c r="C44" s="3" t="s">
        <v>10</v>
      </c>
      <c r="D44" s="9">
        <v>59.54</v>
      </c>
    </row>
    <row r="45" spans="1:7" x14ac:dyDescent="0.2">
      <c r="A45" s="29" t="s">
        <v>280</v>
      </c>
      <c r="B45" s="5">
        <v>45913</v>
      </c>
      <c r="C45" s="3" t="s">
        <v>37</v>
      </c>
      <c r="D45" s="9">
        <v>166.27</v>
      </c>
    </row>
    <row r="46" spans="1:7" x14ac:dyDescent="0.2">
      <c r="A46" s="3" t="s">
        <v>58</v>
      </c>
      <c r="B46" s="5">
        <v>45913.666666666664</v>
      </c>
      <c r="C46" s="3" t="s">
        <v>20</v>
      </c>
      <c r="D46" s="9">
        <v>251.86</v>
      </c>
    </row>
    <row r="47" spans="1:7" x14ac:dyDescent="0.2">
      <c r="A47" s="3" t="s">
        <v>59</v>
      </c>
      <c r="B47" s="5">
        <v>45913.854166666664</v>
      </c>
      <c r="C47" s="3" t="s">
        <v>60</v>
      </c>
      <c r="D47" s="9">
        <v>164.35</v>
      </c>
    </row>
    <row r="48" spans="1:7" x14ac:dyDescent="0.2">
      <c r="A48" s="3" t="s">
        <v>61</v>
      </c>
      <c r="B48" s="5">
        <v>45914.8125</v>
      </c>
      <c r="C48" s="3" t="s">
        <v>10</v>
      </c>
      <c r="D48" s="9">
        <v>57.12</v>
      </c>
    </row>
    <row r="49" spans="1:4" x14ac:dyDescent="0.2">
      <c r="A49" s="3" t="s">
        <v>62</v>
      </c>
      <c r="B49" s="5">
        <v>45915.447916666664</v>
      </c>
      <c r="C49" s="3" t="s">
        <v>12</v>
      </c>
      <c r="D49" s="9">
        <v>186.44</v>
      </c>
    </row>
    <row r="50" spans="1:4" x14ac:dyDescent="0.2">
      <c r="A50" s="3" t="s">
        <v>63</v>
      </c>
      <c r="B50" s="5">
        <v>45915.447916666664</v>
      </c>
      <c r="C50" s="3" t="s">
        <v>18</v>
      </c>
      <c r="D50" s="9">
        <v>225.54</v>
      </c>
    </row>
    <row r="51" spans="1:4" x14ac:dyDescent="0.2">
      <c r="A51" s="3" t="s">
        <v>64</v>
      </c>
      <c r="B51" s="5">
        <v>45915.625</v>
      </c>
      <c r="C51" s="3" t="s">
        <v>65</v>
      </c>
      <c r="D51" s="9">
        <v>214.94</v>
      </c>
    </row>
    <row r="52" spans="1:4" x14ac:dyDescent="0.2">
      <c r="A52" s="3" t="s">
        <v>66</v>
      </c>
      <c r="B52" s="5">
        <v>45915.791666666664</v>
      </c>
      <c r="C52" s="3" t="s">
        <v>10</v>
      </c>
      <c r="D52" s="9">
        <v>56.16</v>
      </c>
    </row>
    <row r="53" spans="1:4" x14ac:dyDescent="0.2">
      <c r="A53" s="3" t="s">
        <v>67</v>
      </c>
      <c r="B53" s="5">
        <v>45917.579861111109</v>
      </c>
      <c r="C53" s="3" t="s">
        <v>65</v>
      </c>
      <c r="D53" s="9">
        <v>67.05</v>
      </c>
    </row>
    <row r="54" spans="1:4" x14ac:dyDescent="0.2">
      <c r="A54" s="3" t="s">
        <v>68</v>
      </c>
      <c r="B54" s="5">
        <v>45917.704861111109</v>
      </c>
      <c r="C54" s="3" t="s">
        <v>69</v>
      </c>
      <c r="D54" s="9">
        <v>325.92</v>
      </c>
    </row>
    <row r="55" spans="1:4" x14ac:dyDescent="0.2">
      <c r="A55" s="3" t="s">
        <v>70</v>
      </c>
      <c r="B55" s="5">
        <v>45918.489583333336</v>
      </c>
      <c r="C55" s="3" t="s">
        <v>10</v>
      </c>
      <c r="D55" s="9">
        <v>56.15</v>
      </c>
    </row>
    <row r="56" spans="1:4" x14ac:dyDescent="0.2">
      <c r="A56" s="3" t="s">
        <v>71</v>
      </c>
      <c r="B56" s="5">
        <v>45918.680555555555</v>
      </c>
      <c r="C56" s="3" t="s">
        <v>10</v>
      </c>
      <c r="D56" s="9">
        <v>155.25</v>
      </c>
    </row>
    <row r="57" spans="1:4" x14ac:dyDescent="0.2">
      <c r="A57" s="3" t="s">
        <v>72</v>
      </c>
      <c r="B57" s="5">
        <v>45919.458333333336</v>
      </c>
      <c r="C57" s="3" t="s">
        <v>73</v>
      </c>
      <c r="D57" s="9">
        <v>58.43</v>
      </c>
    </row>
    <row r="58" spans="1:4" x14ac:dyDescent="0.2">
      <c r="A58" s="3" t="s">
        <v>74</v>
      </c>
      <c r="B58" s="5">
        <v>45919.625</v>
      </c>
      <c r="C58" s="3" t="s">
        <v>73</v>
      </c>
      <c r="D58" s="9">
        <v>128.80000000000001</v>
      </c>
    </row>
    <row r="59" spans="1:4" x14ac:dyDescent="0.2">
      <c r="A59" s="29" t="s">
        <v>279</v>
      </c>
      <c r="B59" s="5">
        <v>45920</v>
      </c>
      <c r="C59" s="3" t="s">
        <v>29</v>
      </c>
      <c r="D59" s="9">
        <v>117.15</v>
      </c>
    </row>
    <row r="60" spans="1:4" x14ac:dyDescent="0.2">
      <c r="A60" s="3" t="s">
        <v>75</v>
      </c>
      <c r="B60" s="5">
        <v>45920.53125</v>
      </c>
      <c r="C60" s="3" t="s">
        <v>46</v>
      </c>
      <c r="D60" s="9">
        <v>329.22</v>
      </c>
    </row>
    <row r="61" spans="1:4" x14ac:dyDescent="0.2">
      <c r="A61" s="3" t="s">
        <v>76</v>
      </c>
      <c r="B61" s="5">
        <v>45920.541666666664</v>
      </c>
      <c r="C61" s="3" t="s">
        <v>37</v>
      </c>
      <c r="D61" s="9">
        <v>579.41</v>
      </c>
    </row>
    <row r="62" spans="1:4" x14ac:dyDescent="0.2">
      <c r="A62" s="3" t="s">
        <v>77</v>
      </c>
      <c r="B62" s="5">
        <v>45920.559027777781</v>
      </c>
      <c r="C62" s="3" t="s">
        <v>6</v>
      </c>
      <c r="D62" s="9">
        <v>434.1</v>
      </c>
    </row>
    <row r="63" spans="1:4" x14ac:dyDescent="0.2">
      <c r="A63" s="3" t="s">
        <v>78</v>
      </c>
      <c r="B63" s="5">
        <v>45920.59375</v>
      </c>
      <c r="C63" s="3" t="s">
        <v>20</v>
      </c>
      <c r="D63" s="9">
        <v>513.1</v>
      </c>
    </row>
    <row r="64" spans="1:4" x14ac:dyDescent="0.2">
      <c r="A64" s="3" t="s">
        <v>79</v>
      </c>
      <c r="B64" s="5">
        <v>45920.666666666664</v>
      </c>
      <c r="C64" s="3" t="s">
        <v>80</v>
      </c>
      <c r="D64" s="9">
        <v>142.24</v>
      </c>
    </row>
    <row r="65" spans="1:4" x14ac:dyDescent="0.2">
      <c r="A65" s="3" t="s">
        <v>81</v>
      </c>
      <c r="B65" s="5">
        <v>45920.666666666664</v>
      </c>
      <c r="C65" s="3" t="s">
        <v>10</v>
      </c>
      <c r="D65" s="9">
        <v>126.5</v>
      </c>
    </row>
    <row r="66" spans="1:4" x14ac:dyDescent="0.2">
      <c r="A66" s="3" t="s">
        <v>82</v>
      </c>
      <c r="B66" s="5">
        <v>45921.416666666664</v>
      </c>
      <c r="C66" s="3" t="s">
        <v>83</v>
      </c>
      <c r="D66" s="9">
        <v>67.05</v>
      </c>
    </row>
    <row r="67" spans="1:4" x14ac:dyDescent="0.2">
      <c r="A67" s="3" t="s">
        <v>84</v>
      </c>
      <c r="B67" s="5">
        <v>45921.78125</v>
      </c>
      <c r="C67" s="3" t="s">
        <v>16</v>
      </c>
      <c r="D67" s="9">
        <v>182.6</v>
      </c>
    </row>
    <row r="68" spans="1:4" x14ac:dyDescent="0.2">
      <c r="A68" s="3" t="s">
        <v>85</v>
      </c>
      <c r="B68" s="5">
        <v>45922.416666666664</v>
      </c>
      <c r="C68" s="3" t="s">
        <v>10</v>
      </c>
      <c r="D68" s="9">
        <v>70.680000000000007</v>
      </c>
    </row>
    <row r="69" spans="1:4" x14ac:dyDescent="0.2">
      <c r="A69" s="3" t="s">
        <v>86</v>
      </c>
      <c r="B69" s="5">
        <v>45922.5</v>
      </c>
      <c r="C69" s="3" t="s">
        <v>65</v>
      </c>
      <c r="D69" s="9">
        <v>354.36</v>
      </c>
    </row>
    <row r="70" spans="1:4" x14ac:dyDescent="0.2">
      <c r="A70" s="3" t="s">
        <v>87</v>
      </c>
      <c r="B70" s="5">
        <v>45924.6875</v>
      </c>
      <c r="C70" s="3" t="s">
        <v>46</v>
      </c>
      <c r="D70" s="9">
        <v>244.98</v>
      </c>
    </row>
    <row r="71" spans="1:4" x14ac:dyDescent="0.2">
      <c r="A71" s="3" t="s">
        <v>88</v>
      </c>
      <c r="B71" s="5">
        <v>45927.458333333336</v>
      </c>
      <c r="C71" s="3" t="s">
        <v>20</v>
      </c>
      <c r="D71" s="9">
        <v>269.92</v>
      </c>
    </row>
    <row r="72" spans="1:4" x14ac:dyDescent="0.2">
      <c r="A72" s="3" t="s">
        <v>89</v>
      </c>
      <c r="B72" s="5">
        <v>45929.625</v>
      </c>
      <c r="C72" s="3" t="s">
        <v>49</v>
      </c>
      <c r="D72" s="9">
        <v>79.56</v>
      </c>
    </row>
    <row r="73" spans="1:4" x14ac:dyDescent="0.2">
      <c r="A73" s="3" t="s">
        <v>90</v>
      </c>
      <c r="B73" s="5">
        <v>45929.65625</v>
      </c>
      <c r="C73" s="3" t="s">
        <v>16</v>
      </c>
      <c r="D73" s="9">
        <v>146.4</v>
      </c>
    </row>
    <row r="74" spans="1:4" x14ac:dyDescent="0.2">
      <c r="A74" s="3" t="s">
        <v>91</v>
      </c>
      <c r="B74" s="5">
        <v>45930.5</v>
      </c>
      <c r="C74" s="3" t="s">
        <v>10</v>
      </c>
      <c r="D74" s="9">
        <v>136.38999999999999</v>
      </c>
    </row>
    <row r="75" spans="1:4" x14ac:dyDescent="0.2">
      <c r="A75" s="2"/>
      <c r="B75" s="6"/>
      <c r="C75" s="2"/>
      <c r="D75" s="10"/>
    </row>
    <row r="76" spans="1:4" ht="18" customHeight="1" x14ac:dyDescent="0.2">
      <c r="A76" s="32" t="s">
        <v>93</v>
      </c>
      <c r="B76" s="32"/>
      <c r="C76" s="32"/>
      <c r="D76" s="32"/>
    </row>
    <row r="77" spans="1:4" x14ac:dyDescent="0.2">
      <c r="A77" s="2"/>
      <c r="B77" s="5">
        <v>45901.375</v>
      </c>
      <c r="C77" s="3" t="s">
        <v>94</v>
      </c>
      <c r="D77" s="9">
        <v>80</v>
      </c>
    </row>
    <row r="78" spans="1:4" x14ac:dyDescent="0.2">
      <c r="A78" s="2"/>
      <c r="B78" s="5">
        <v>45901.447916666664</v>
      </c>
      <c r="C78" s="3" t="s">
        <v>95</v>
      </c>
      <c r="D78" s="9">
        <v>85</v>
      </c>
    </row>
    <row r="79" spans="1:4" x14ac:dyDescent="0.2">
      <c r="A79" s="2"/>
      <c r="B79" s="5">
        <v>45901.458333333336</v>
      </c>
      <c r="C79" s="3" t="s">
        <v>95</v>
      </c>
      <c r="D79" s="9">
        <v>85</v>
      </c>
    </row>
    <row r="80" spans="1:4" x14ac:dyDescent="0.2">
      <c r="A80" s="2"/>
      <c r="B80" s="5">
        <v>45901.520833333336</v>
      </c>
      <c r="C80" s="3" t="s">
        <v>37</v>
      </c>
      <c r="D80" s="9">
        <v>326.06</v>
      </c>
    </row>
    <row r="81" spans="1:4" x14ac:dyDescent="0.2">
      <c r="A81" s="2"/>
      <c r="B81" s="5">
        <v>45902.416666666664</v>
      </c>
      <c r="C81" s="3" t="s">
        <v>65</v>
      </c>
      <c r="D81" s="9">
        <v>180</v>
      </c>
    </row>
    <row r="82" spans="1:4" x14ac:dyDescent="0.2">
      <c r="A82" s="2"/>
      <c r="B82" s="5">
        <v>45902.472222222219</v>
      </c>
      <c r="C82" s="3" t="s">
        <v>73</v>
      </c>
      <c r="D82" s="9">
        <v>56</v>
      </c>
    </row>
    <row r="83" spans="1:4" x14ac:dyDescent="0.2">
      <c r="A83" s="2"/>
      <c r="B83" s="5">
        <v>45903.458333333336</v>
      </c>
      <c r="C83" s="3" t="s">
        <v>10</v>
      </c>
      <c r="D83" s="9">
        <v>270</v>
      </c>
    </row>
    <row r="84" spans="1:4" x14ac:dyDescent="0.2">
      <c r="A84" s="2"/>
      <c r="B84" s="5">
        <v>45903.520833333336</v>
      </c>
      <c r="C84" s="3" t="s">
        <v>73</v>
      </c>
      <c r="D84" s="9">
        <v>650</v>
      </c>
    </row>
    <row r="85" spans="1:4" x14ac:dyDescent="0.2">
      <c r="A85" s="2"/>
      <c r="B85" s="5">
        <v>45904.666666666664</v>
      </c>
      <c r="C85" s="3" t="s">
        <v>65</v>
      </c>
      <c r="D85" s="9">
        <v>170</v>
      </c>
    </row>
    <row r="86" spans="1:4" x14ac:dyDescent="0.2">
      <c r="A86" s="2"/>
      <c r="B86" s="5">
        <v>45905.416666666664</v>
      </c>
      <c r="C86" s="3" t="s">
        <v>96</v>
      </c>
      <c r="D86" s="9">
        <v>90</v>
      </c>
    </row>
    <row r="87" spans="1:4" x14ac:dyDescent="0.2">
      <c r="A87" s="2"/>
      <c r="B87" s="5">
        <v>45905.645833333336</v>
      </c>
      <c r="C87" s="3" t="s">
        <v>97</v>
      </c>
      <c r="D87" s="9">
        <v>600</v>
      </c>
    </row>
    <row r="88" spans="1:4" x14ac:dyDescent="0.2">
      <c r="A88" s="2"/>
      <c r="B88" s="5">
        <v>45905.65625</v>
      </c>
      <c r="C88" s="3" t="s">
        <v>96</v>
      </c>
      <c r="D88" s="9">
        <v>115</v>
      </c>
    </row>
    <row r="89" spans="1:4" x14ac:dyDescent="0.2">
      <c r="A89" s="2"/>
      <c r="B89" s="5">
        <v>45906.395833333336</v>
      </c>
      <c r="C89" s="3" t="s">
        <v>96</v>
      </c>
      <c r="D89" s="9">
        <v>240</v>
      </c>
    </row>
    <row r="90" spans="1:4" x14ac:dyDescent="0.2">
      <c r="A90" s="2"/>
      <c r="B90" s="5">
        <v>45906.395833333336</v>
      </c>
      <c r="C90" s="3" t="s">
        <v>96</v>
      </c>
      <c r="D90" s="9">
        <v>115</v>
      </c>
    </row>
    <row r="91" spans="1:4" x14ac:dyDescent="0.2">
      <c r="A91" s="2"/>
      <c r="B91" s="5">
        <v>45906.416666666664</v>
      </c>
      <c r="C91" s="3" t="s">
        <v>98</v>
      </c>
      <c r="D91" s="9">
        <v>396</v>
      </c>
    </row>
    <row r="92" spans="1:4" x14ac:dyDescent="0.2">
      <c r="A92" s="2"/>
      <c r="B92" s="5">
        <v>45906.5</v>
      </c>
      <c r="C92" s="3" t="s">
        <v>95</v>
      </c>
      <c r="D92" s="9">
        <v>110</v>
      </c>
    </row>
    <row r="93" spans="1:4" x14ac:dyDescent="0.2">
      <c r="A93" s="2"/>
      <c r="B93" s="5">
        <v>45906.645833333336</v>
      </c>
      <c r="C93" s="3" t="s">
        <v>73</v>
      </c>
      <c r="D93" s="9">
        <v>184</v>
      </c>
    </row>
    <row r="94" spans="1:4" x14ac:dyDescent="0.2">
      <c r="A94" s="2"/>
      <c r="B94" s="5">
        <v>45906.708333333336</v>
      </c>
      <c r="C94" s="3" t="s">
        <v>80</v>
      </c>
      <c r="D94" s="9">
        <v>265</v>
      </c>
    </row>
    <row r="95" spans="1:4" x14ac:dyDescent="0.2">
      <c r="A95" s="2"/>
      <c r="B95" s="5">
        <v>45907.479166666664</v>
      </c>
      <c r="C95" s="3" t="s">
        <v>65</v>
      </c>
      <c r="D95" s="9">
        <v>105.34</v>
      </c>
    </row>
    <row r="96" spans="1:4" x14ac:dyDescent="0.2">
      <c r="A96" s="2"/>
      <c r="B96" s="5">
        <v>45908.385416666664</v>
      </c>
      <c r="C96" s="3" t="s">
        <v>96</v>
      </c>
      <c r="D96" s="9">
        <v>90</v>
      </c>
    </row>
    <row r="97" spans="1:4" x14ac:dyDescent="0.2">
      <c r="A97" s="2"/>
      <c r="B97" s="5">
        <v>45908.395833333336</v>
      </c>
      <c r="C97" s="3" t="s">
        <v>94</v>
      </c>
      <c r="D97" s="9">
        <v>85</v>
      </c>
    </row>
    <row r="98" spans="1:4" x14ac:dyDescent="0.2">
      <c r="A98" s="2"/>
      <c r="B98" s="5">
        <v>45908.417361111111</v>
      </c>
      <c r="C98" s="3" t="s">
        <v>96</v>
      </c>
      <c r="D98" s="9">
        <v>90</v>
      </c>
    </row>
    <row r="99" spans="1:4" x14ac:dyDescent="0.2">
      <c r="A99" s="2"/>
      <c r="B99" s="5">
        <v>45908.447916666664</v>
      </c>
      <c r="C99" s="3" t="s">
        <v>83</v>
      </c>
      <c r="D99" s="9">
        <v>225.7</v>
      </c>
    </row>
    <row r="100" spans="1:4" x14ac:dyDescent="0.2">
      <c r="A100" s="2"/>
      <c r="B100" s="5">
        <v>45908.659722222219</v>
      </c>
      <c r="C100" s="3" t="s">
        <v>83</v>
      </c>
      <c r="D100" s="9">
        <v>200</v>
      </c>
    </row>
    <row r="101" spans="1:4" x14ac:dyDescent="0.2">
      <c r="A101" s="2"/>
      <c r="B101" s="5">
        <v>45909.604166666664</v>
      </c>
      <c r="C101" s="3" t="s">
        <v>96</v>
      </c>
      <c r="D101" s="9">
        <v>190</v>
      </c>
    </row>
    <row r="102" spans="1:4" x14ac:dyDescent="0.2">
      <c r="A102" s="2"/>
      <c r="B102" s="5">
        <v>45910.645833333336</v>
      </c>
      <c r="C102" s="3" t="s">
        <v>20</v>
      </c>
      <c r="D102" s="9">
        <v>1</v>
      </c>
    </row>
    <row r="103" spans="1:4" x14ac:dyDescent="0.2">
      <c r="A103" s="2"/>
      <c r="B103" s="5">
        <v>45910.6875</v>
      </c>
      <c r="C103" s="3" t="s">
        <v>96</v>
      </c>
      <c r="D103" s="9">
        <v>135</v>
      </c>
    </row>
    <row r="104" spans="1:4" x14ac:dyDescent="0.2">
      <c r="A104" s="2"/>
      <c r="B104" s="5">
        <v>45911.40625</v>
      </c>
      <c r="C104" s="3" t="s">
        <v>95</v>
      </c>
      <c r="D104" s="9">
        <v>85</v>
      </c>
    </row>
    <row r="105" spans="1:4" x14ac:dyDescent="0.2">
      <c r="A105" s="2"/>
      <c r="B105" s="5">
        <v>45911.458333333336</v>
      </c>
      <c r="C105" s="3" t="s">
        <v>96</v>
      </c>
      <c r="D105" s="9">
        <v>90</v>
      </c>
    </row>
    <row r="106" spans="1:4" x14ac:dyDescent="0.2">
      <c r="A106" s="2"/>
      <c r="B106" s="5">
        <v>45911.53125</v>
      </c>
      <c r="C106" s="3" t="s">
        <v>10</v>
      </c>
      <c r="D106" s="9">
        <v>230</v>
      </c>
    </row>
    <row r="107" spans="1:4" x14ac:dyDescent="0.2">
      <c r="A107" s="2"/>
      <c r="B107" s="5">
        <v>45912.46875</v>
      </c>
      <c r="C107" s="3" t="s">
        <v>96</v>
      </c>
      <c r="D107" s="9">
        <v>135</v>
      </c>
    </row>
    <row r="108" spans="1:4" x14ac:dyDescent="0.2">
      <c r="A108" s="2"/>
      <c r="B108" s="5">
        <v>45912.5</v>
      </c>
      <c r="C108" s="3" t="s">
        <v>6</v>
      </c>
      <c r="D108" s="9">
        <v>250.95</v>
      </c>
    </row>
    <row r="109" spans="1:4" x14ac:dyDescent="0.2">
      <c r="A109" s="2"/>
      <c r="B109" s="5">
        <v>45913.4375</v>
      </c>
      <c r="C109" s="3" t="s">
        <v>96</v>
      </c>
      <c r="D109" s="9">
        <v>90</v>
      </c>
    </row>
    <row r="110" spans="1:4" x14ac:dyDescent="0.2">
      <c r="A110" s="2"/>
      <c r="B110" s="5">
        <v>45914.447916666664</v>
      </c>
      <c r="C110" s="3" t="s">
        <v>97</v>
      </c>
      <c r="D110" s="9">
        <v>635</v>
      </c>
    </row>
    <row r="111" spans="1:4" x14ac:dyDescent="0.2">
      <c r="A111" s="2"/>
      <c r="B111" s="5">
        <v>45914.649305555555</v>
      </c>
      <c r="C111" s="3" t="s">
        <v>65</v>
      </c>
      <c r="D111" s="9">
        <v>3.2</v>
      </c>
    </row>
    <row r="112" spans="1:4" x14ac:dyDescent="0.2">
      <c r="A112" s="2"/>
      <c r="B112" s="5">
        <v>45915.46875</v>
      </c>
      <c r="C112" s="3" t="s">
        <v>95</v>
      </c>
      <c r="D112" s="9">
        <v>140</v>
      </c>
    </row>
    <row r="113" spans="1:4" x14ac:dyDescent="0.2">
      <c r="A113" s="2"/>
      <c r="B113" s="5">
        <v>45915.489583333336</v>
      </c>
      <c r="C113" s="3" t="s">
        <v>83</v>
      </c>
      <c r="D113" s="9">
        <v>150</v>
      </c>
    </row>
    <row r="114" spans="1:4" x14ac:dyDescent="0.2">
      <c r="A114" s="2"/>
      <c r="B114" s="5">
        <v>45916.708333333336</v>
      </c>
      <c r="C114" s="3" t="s">
        <v>65</v>
      </c>
      <c r="D114" s="9">
        <v>89.1</v>
      </c>
    </row>
    <row r="115" spans="1:4" x14ac:dyDescent="0.2">
      <c r="A115" s="2"/>
      <c r="B115" s="5">
        <v>45917.427083333336</v>
      </c>
      <c r="C115" s="3" t="s">
        <v>94</v>
      </c>
      <c r="D115" s="9">
        <v>182.4</v>
      </c>
    </row>
    <row r="116" spans="1:4" x14ac:dyDescent="0.2">
      <c r="A116" s="2"/>
      <c r="B116" s="5">
        <v>45917.4375</v>
      </c>
      <c r="C116" s="3" t="s">
        <v>10</v>
      </c>
      <c r="D116" s="9">
        <v>230</v>
      </c>
    </row>
    <row r="117" spans="1:4" x14ac:dyDescent="0.2">
      <c r="A117" s="2"/>
      <c r="B117" s="5">
        <v>45917.447916666664</v>
      </c>
      <c r="C117" s="3" t="s">
        <v>96</v>
      </c>
      <c r="D117" s="9">
        <v>90</v>
      </c>
    </row>
    <row r="118" spans="1:4" x14ac:dyDescent="0.2">
      <c r="A118" s="2"/>
      <c r="B118" s="5">
        <v>45917.666666666664</v>
      </c>
      <c r="C118" s="3" t="s">
        <v>98</v>
      </c>
      <c r="D118" s="9">
        <v>284.41000000000003</v>
      </c>
    </row>
    <row r="119" spans="1:4" x14ac:dyDescent="0.2">
      <c r="A119" s="2"/>
      <c r="B119" s="5">
        <v>45917.697916666664</v>
      </c>
      <c r="C119" s="3" t="s">
        <v>94</v>
      </c>
      <c r="D119" s="9">
        <v>240</v>
      </c>
    </row>
    <row r="120" spans="1:4" x14ac:dyDescent="0.2">
      <c r="A120" s="2"/>
      <c r="B120" s="5">
        <v>45918.4375</v>
      </c>
      <c r="C120" s="3" t="s">
        <v>94</v>
      </c>
      <c r="D120" s="9">
        <v>80</v>
      </c>
    </row>
    <row r="121" spans="1:4" x14ac:dyDescent="0.2">
      <c r="A121" s="2"/>
      <c r="B121" s="5">
        <v>45918.479166666664</v>
      </c>
      <c r="C121" s="3" t="s">
        <v>10</v>
      </c>
      <c r="D121" s="9">
        <v>180</v>
      </c>
    </row>
    <row r="122" spans="1:4" x14ac:dyDescent="0.2">
      <c r="A122" s="2"/>
      <c r="B122" s="5">
        <v>45918.625</v>
      </c>
      <c r="C122" s="3" t="s">
        <v>96</v>
      </c>
      <c r="D122" s="9">
        <v>90</v>
      </c>
    </row>
    <row r="123" spans="1:4" x14ac:dyDescent="0.2">
      <c r="A123" s="2"/>
      <c r="B123" s="5">
        <v>45919.729166666664</v>
      </c>
      <c r="C123" s="3" t="s">
        <v>80</v>
      </c>
      <c r="D123" s="9">
        <v>280</v>
      </c>
    </row>
    <row r="124" spans="1:4" x14ac:dyDescent="0.2">
      <c r="A124" s="2"/>
      <c r="B124" s="5">
        <v>45920.46875</v>
      </c>
      <c r="C124" s="3" t="s">
        <v>96</v>
      </c>
      <c r="D124" s="9">
        <v>90</v>
      </c>
    </row>
    <row r="125" spans="1:4" x14ac:dyDescent="0.2">
      <c r="A125" s="2"/>
      <c r="B125" s="5">
        <v>45920.666666666664</v>
      </c>
      <c r="C125" s="3" t="s">
        <v>29</v>
      </c>
      <c r="D125" s="9">
        <v>280</v>
      </c>
    </row>
    <row r="126" spans="1:4" x14ac:dyDescent="0.2">
      <c r="A126" s="2"/>
      <c r="B126" s="5">
        <v>45921.479166666664</v>
      </c>
      <c r="C126" s="3" t="s">
        <v>95</v>
      </c>
      <c r="D126" s="9">
        <v>125</v>
      </c>
    </row>
    <row r="127" spans="1:4" x14ac:dyDescent="0.2">
      <c r="A127" s="2"/>
      <c r="B127" s="5">
        <v>45921.645833333336</v>
      </c>
      <c r="C127" s="3" t="s">
        <v>10</v>
      </c>
      <c r="D127" s="9">
        <v>230</v>
      </c>
    </row>
    <row r="128" spans="1:4" x14ac:dyDescent="0.2">
      <c r="A128" s="2"/>
      <c r="B128" s="5">
        <v>45922.427083333336</v>
      </c>
      <c r="C128" s="3" t="s">
        <v>95</v>
      </c>
      <c r="D128" s="9">
        <v>85</v>
      </c>
    </row>
    <row r="129" spans="1:4" x14ac:dyDescent="0.2">
      <c r="A129" s="2"/>
      <c r="B129" s="5">
        <v>45922.75</v>
      </c>
      <c r="C129" s="3" t="s">
        <v>49</v>
      </c>
      <c r="D129" s="9">
        <v>295</v>
      </c>
    </row>
    <row r="130" spans="1:4" x14ac:dyDescent="0.2">
      <c r="A130" s="2"/>
      <c r="B130" s="5">
        <v>45923.375</v>
      </c>
      <c r="C130" s="3" t="s">
        <v>65</v>
      </c>
      <c r="D130" s="9">
        <v>526.67999999999995</v>
      </c>
    </row>
    <row r="131" spans="1:4" x14ac:dyDescent="0.2">
      <c r="A131" s="2"/>
      <c r="B131" s="5">
        <v>45923.416666666664</v>
      </c>
      <c r="C131" s="3" t="s">
        <v>95</v>
      </c>
      <c r="D131" s="9">
        <v>110</v>
      </c>
    </row>
    <row r="132" spans="1:4" x14ac:dyDescent="0.2">
      <c r="A132" s="2"/>
      <c r="B132" s="5">
        <v>45923.479166666664</v>
      </c>
      <c r="C132" s="3" t="s">
        <v>10</v>
      </c>
      <c r="D132" s="9">
        <v>230</v>
      </c>
    </row>
    <row r="133" spans="1:4" x14ac:dyDescent="0.2">
      <c r="A133" s="2"/>
      <c r="B133" s="5">
        <v>45923.510416666664</v>
      </c>
      <c r="C133" s="3" t="s">
        <v>16</v>
      </c>
      <c r="D133" s="9">
        <v>230</v>
      </c>
    </row>
    <row r="134" spans="1:4" x14ac:dyDescent="0.2">
      <c r="A134" s="2"/>
      <c r="B134" s="5">
        <v>45924.416666666664</v>
      </c>
      <c r="C134" s="3" t="s">
        <v>94</v>
      </c>
      <c r="D134" s="9">
        <v>85</v>
      </c>
    </row>
    <row r="135" spans="1:4" x14ac:dyDescent="0.2">
      <c r="A135" s="2"/>
      <c r="B135" s="5">
        <v>45924.4375</v>
      </c>
      <c r="C135" s="3" t="s">
        <v>94</v>
      </c>
      <c r="D135" s="9">
        <v>100</v>
      </c>
    </row>
    <row r="136" spans="1:4" x14ac:dyDescent="0.2">
      <c r="A136" s="2"/>
      <c r="B136" s="5">
        <v>45924.4375</v>
      </c>
      <c r="C136" s="3" t="s">
        <v>83</v>
      </c>
      <c r="D136" s="9">
        <v>190</v>
      </c>
    </row>
    <row r="137" spans="1:4" x14ac:dyDescent="0.2">
      <c r="A137" s="2"/>
      <c r="B137" s="5">
        <v>45924.4375</v>
      </c>
      <c r="C137" s="3" t="s">
        <v>94</v>
      </c>
      <c r="D137" s="9">
        <v>100</v>
      </c>
    </row>
    <row r="138" spans="1:4" x14ac:dyDescent="0.2">
      <c r="A138" s="2"/>
      <c r="B138" s="5">
        <v>45924.458333333336</v>
      </c>
      <c r="C138" s="3" t="s">
        <v>95</v>
      </c>
      <c r="D138" s="9">
        <v>85</v>
      </c>
    </row>
    <row r="139" spans="1:4" x14ac:dyDescent="0.2">
      <c r="A139" s="2"/>
      <c r="B139" s="5">
        <v>45924.708333333336</v>
      </c>
      <c r="C139" s="3" t="s">
        <v>65</v>
      </c>
      <c r="D139" s="9">
        <v>150</v>
      </c>
    </row>
    <row r="140" spans="1:4" x14ac:dyDescent="0.2">
      <c r="A140" s="2"/>
      <c r="B140" s="5">
        <v>45924.75</v>
      </c>
      <c r="C140" s="3" t="s">
        <v>96</v>
      </c>
      <c r="D140" s="9">
        <v>170</v>
      </c>
    </row>
    <row r="141" spans="1:4" x14ac:dyDescent="0.2">
      <c r="A141" s="2"/>
      <c r="B141" s="5">
        <v>45925.4375</v>
      </c>
      <c r="C141" s="3" t="s">
        <v>94</v>
      </c>
      <c r="D141" s="9">
        <v>100</v>
      </c>
    </row>
    <row r="142" spans="1:4" x14ac:dyDescent="0.2">
      <c r="A142" s="2"/>
      <c r="B142" s="5">
        <v>45925.458333333336</v>
      </c>
      <c r="C142" s="3" t="s">
        <v>29</v>
      </c>
      <c r="D142" s="9">
        <v>192.28</v>
      </c>
    </row>
    <row r="143" spans="1:4" x14ac:dyDescent="0.2">
      <c r="A143" s="2"/>
      <c r="B143" s="5">
        <v>45926.4375</v>
      </c>
      <c r="C143" s="3" t="s">
        <v>96</v>
      </c>
      <c r="D143" s="9">
        <v>90</v>
      </c>
    </row>
    <row r="144" spans="1:4" x14ac:dyDescent="0.2">
      <c r="A144" s="2"/>
      <c r="B144" s="5">
        <v>45927.427083333336</v>
      </c>
      <c r="C144" s="3" t="s">
        <v>95</v>
      </c>
      <c r="D144" s="9">
        <v>190</v>
      </c>
    </row>
    <row r="145" spans="1:4" x14ac:dyDescent="0.2">
      <c r="A145" s="2"/>
      <c r="B145" s="5">
        <v>45927.4375</v>
      </c>
      <c r="C145" s="3" t="s">
        <v>95</v>
      </c>
      <c r="D145" s="9">
        <v>85</v>
      </c>
    </row>
    <row r="146" spans="1:4" x14ac:dyDescent="0.2">
      <c r="A146" s="2"/>
      <c r="B146" s="5">
        <v>45928.40625</v>
      </c>
      <c r="C146" s="3" t="s">
        <v>83</v>
      </c>
      <c r="D146" s="9">
        <v>150</v>
      </c>
    </row>
    <row r="147" spans="1:4" x14ac:dyDescent="0.2">
      <c r="A147" s="2"/>
      <c r="B147" s="5">
        <v>45928.479166666664</v>
      </c>
      <c r="C147" s="3" t="s">
        <v>95</v>
      </c>
      <c r="D147" s="9">
        <v>90</v>
      </c>
    </row>
    <row r="148" spans="1:4" x14ac:dyDescent="0.2">
      <c r="A148" s="2"/>
      <c r="B148" s="5">
        <v>45929.427083333336</v>
      </c>
      <c r="C148" s="3" t="s">
        <v>65</v>
      </c>
      <c r="D148" s="9">
        <v>170</v>
      </c>
    </row>
    <row r="149" spans="1:4" x14ac:dyDescent="0.2">
      <c r="A149" s="2"/>
      <c r="B149" s="5">
        <v>45929.708333333336</v>
      </c>
      <c r="C149" s="3" t="s">
        <v>83</v>
      </c>
      <c r="D149" s="9">
        <v>150</v>
      </c>
    </row>
    <row r="150" spans="1:4" x14ac:dyDescent="0.2">
      <c r="A150" s="2"/>
      <c r="B150" s="5">
        <v>45930.395833333336</v>
      </c>
      <c r="C150" s="3" t="s">
        <v>94</v>
      </c>
      <c r="D150" s="9">
        <v>100</v>
      </c>
    </row>
    <row r="151" spans="1:4" x14ac:dyDescent="0.2">
      <c r="A151" s="2"/>
      <c r="B151" s="5">
        <v>45930.75</v>
      </c>
      <c r="C151" s="3" t="s">
        <v>95</v>
      </c>
      <c r="D151" s="9">
        <v>80</v>
      </c>
    </row>
    <row r="152" spans="1:4" x14ac:dyDescent="0.2">
      <c r="A152" s="2"/>
      <c r="B152" s="6"/>
      <c r="C152" s="2"/>
      <c r="D152" s="10"/>
    </row>
    <row r="153" spans="1:4" ht="18" customHeight="1" x14ac:dyDescent="0.2">
      <c r="A153" s="32" t="s">
        <v>99</v>
      </c>
      <c r="B153" s="32"/>
      <c r="C153" s="32"/>
      <c r="D153" s="32"/>
    </row>
    <row r="154" spans="1:4" x14ac:dyDescent="0.2">
      <c r="A154" s="3" t="s">
        <v>100</v>
      </c>
      <c r="B154" s="5">
        <v>45901.395833333336</v>
      </c>
      <c r="C154" s="3" t="s">
        <v>96</v>
      </c>
      <c r="D154" s="9">
        <v>42</v>
      </c>
    </row>
    <row r="155" spans="1:4" x14ac:dyDescent="0.2">
      <c r="A155" s="3" t="s">
        <v>101</v>
      </c>
      <c r="B155" s="5">
        <v>45901.458333333336</v>
      </c>
      <c r="C155" s="3" t="s">
        <v>83</v>
      </c>
      <c r="D155" s="9">
        <v>105</v>
      </c>
    </row>
    <row r="156" spans="1:4" x14ac:dyDescent="0.2">
      <c r="A156" s="2"/>
      <c r="B156" s="5">
        <v>45901.489583333336</v>
      </c>
      <c r="C156" s="3" t="s">
        <v>12</v>
      </c>
      <c r="D156" s="9">
        <v>301.27999999999997</v>
      </c>
    </row>
    <row r="157" spans="1:4" x14ac:dyDescent="0.2">
      <c r="A157" s="3" t="s">
        <v>102</v>
      </c>
      <c r="B157" s="5">
        <v>45902.395833333336</v>
      </c>
      <c r="C157" s="3" t="s">
        <v>73</v>
      </c>
      <c r="D157" s="9">
        <v>60</v>
      </c>
    </row>
    <row r="158" spans="1:4" x14ac:dyDescent="0.2">
      <c r="A158" s="3" t="s">
        <v>103</v>
      </c>
      <c r="B158" s="5">
        <v>45903.520833333336</v>
      </c>
      <c r="C158" s="3" t="s">
        <v>95</v>
      </c>
      <c r="D158" s="9">
        <v>40</v>
      </c>
    </row>
    <row r="159" spans="1:4" x14ac:dyDescent="0.2">
      <c r="A159" s="3" t="s">
        <v>104</v>
      </c>
      <c r="B159" s="5">
        <v>45904.416666666664</v>
      </c>
      <c r="C159" s="3" t="s">
        <v>95</v>
      </c>
      <c r="D159" s="9">
        <v>66</v>
      </c>
    </row>
    <row r="160" spans="1:4" x14ac:dyDescent="0.2">
      <c r="A160" s="3" t="s">
        <v>105</v>
      </c>
      <c r="B160" s="5">
        <v>45904.447916666664</v>
      </c>
      <c r="C160" s="3" t="s">
        <v>94</v>
      </c>
      <c r="D160" s="9">
        <v>44</v>
      </c>
    </row>
    <row r="161" spans="1:4" x14ac:dyDescent="0.2">
      <c r="A161" s="3" t="s">
        <v>106</v>
      </c>
      <c r="B161" s="5">
        <v>45906.375</v>
      </c>
      <c r="C161" s="3" t="s">
        <v>107</v>
      </c>
      <c r="D161" s="9">
        <v>96</v>
      </c>
    </row>
    <row r="162" spans="1:4" x14ac:dyDescent="0.2">
      <c r="A162" s="3" t="s">
        <v>108</v>
      </c>
      <c r="B162" s="5">
        <v>45906.458333333336</v>
      </c>
      <c r="C162" s="3" t="s">
        <v>95</v>
      </c>
      <c r="D162" s="9">
        <v>49.02</v>
      </c>
    </row>
    <row r="163" spans="1:4" x14ac:dyDescent="0.2">
      <c r="A163" s="3" t="s">
        <v>109</v>
      </c>
      <c r="B163" s="5">
        <v>45907.5</v>
      </c>
      <c r="C163" s="3" t="s">
        <v>95</v>
      </c>
      <c r="D163" s="9">
        <v>66</v>
      </c>
    </row>
    <row r="164" spans="1:4" x14ac:dyDescent="0.2">
      <c r="A164" s="3" t="s">
        <v>110</v>
      </c>
      <c r="B164" s="5">
        <v>45907.625</v>
      </c>
      <c r="C164" s="3" t="s">
        <v>96</v>
      </c>
      <c r="D164" s="9">
        <v>78.659999999999897</v>
      </c>
    </row>
    <row r="165" spans="1:4" x14ac:dyDescent="0.2">
      <c r="A165" s="3" t="s">
        <v>111</v>
      </c>
      <c r="B165" s="5">
        <v>45908.416666666664</v>
      </c>
      <c r="C165" s="3" t="s">
        <v>29</v>
      </c>
      <c r="D165" s="9">
        <v>239.634999999999</v>
      </c>
    </row>
    <row r="166" spans="1:4" x14ac:dyDescent="0.2">
      <c r="A166" s="3" t="s">
        <v>112</v>
      </c>
      <c r="B166" s="5">
        <v>45909.448611111111</v>
      </c>
      <c r="C166" s="3" t="s">
        <v>96</v>
      </c>
      <c r="D166" s="9">
        <v>68.459999999999994</v>
      </c>
    </row>
    <row r="167" spans="1:4" x14ac:dyDescent="0.2">
      <c r="A167" s="3" t="s">
        <v>113</v>
      </c>
      <c r="B167" s="5">
        <v>45909.770833333336</v>
      </c>
      <c r="C167" s="3" t="s">
        <v>16</v>
      </c>
      <c r="D167" s="9">
        <v>196.07</v>
      </c>
    </row>
    <row r="168" spans="1:4" x14ac:dyDescent="0.2">
      <c r="A168" s="2"/>
      <c r="B168" s="5">
        <v>45910.489583333336</v>
      </c>
      <c r="C168" s="3" t="s">
        <v>37</v>
      </c>
      <c r="D168" s="9">
        <v>114.13999999999901</v>
      </c>
    </row>
    <row r="169" spans="1:4" x14ac:dyDescent="0.2">
      <c r="A169" s="3" t="s">
        <v>114</v>
      </c>
      <c r="B169" s="5">
        <v>45910.53125</v>
      </c>
      <c r="C169" s="3" t="s">
        <v>10</v>
      </c>
      <c r="D169" s="9">
        <v>241.68</v>
      </c>
    </row>
    <row r="170" spans="1:4" x14ac:dyDescent="0.2">
      <c r="A170" s="3" t="s">
        <v>115</v>
      </c>
      <c r="B170" s="5">
        <v>45913.791666666664</v>
      </c>
      <c r="C170" s="3" t="s">
        <v>10</v>
      </c>
      <c r="D170" s="9">
        <v>59.85</v>
      </c>
    </row>
    <row r="171" spans="1:4" x14ac:dyDescent="0.2">
      <c r="A171" s="3" t="s">
        <v>116</v>
      </c>
      <c r="B171" s="5">
        <v>45914.416666666664</v>
      </c>
      <c r="C171" s="3" t="s">
        <v>73</v>
      </c>
      <c r="D171" s="9">
        <v>92.349999999999895</v>
      </c>
    </row>
    <row r="172" spans="1:4" x14ac:dyDescent="0.2">
      <c r="A172" s="2"/>
      <c r="B172" s="5">
        <v>45915.6875</v>
      </c>
      <c r="C172" s="3" t="s">
        <v>117</v>
      </c>
      <c r="D172" s="9">
        <v>262.5</v>
      </c>
    </row>
    <row r="173" spans="1:4" x14ac:dyDescent="0.2">
      <c r="A173" s="2"/>
      <c r="B173" s="5">
        <v>45916.4375</v>
      </c>
      <c r="C173" s="3" t="s">
        <v>83</v>
      </c>
      <c r="D173" s="9">
        <v>321.48</v>
      </c>
    </row>
    <row r="174" spans="1:4" x14ac:dyDescent="0.2">
      <c r="A174" s="2"/>
      <c r="B174" s="5">
        <v>45916.469444444447</v>
      </c>
      <c r="C174" s="3" t="s">
        <v>117</v>
      </c>
      <c r="D174" s="9">
        <v>427.16</v>
      </c>
    </row>
    <row r="175" spans="1:4" x14ac:dyDescent="0.2">
      <c r="A175" s="3" t="s">
        <v>118</v>
      </c>
      <c r="B175" s="5">
        <v>45917.458333333336</v>
      </c>
      <c r="C175" s="3" t="s">
        <v>96</v>
      </c>
      <c r="D175" s="9">
        <v>70.680000000000007</v>
      </c>
    </row>
    <row r="176" spans="1:4" x14ac:dyDescent="0.2">
      <c r="A176" s="3" t="s">
        <v>119</v>
      </c>
      <c r="B176" s="5">
        <v>45917.489583333336</v>
      </c>
      <c r="C176" s="3" t="s">
        <v>65</v>
      </c>
      <c r="D176" s="9">
        <v>342</v>
      </c>
    </row>
    <row r="177" spans="1:4" x14ac:dyDescent="0.2">
      <c r="A177" s="3" t="s">
        <v>120</v>
      </c>
      <c r="B177" s="5">
        <v>45919.458333333336</v>
      </c>
      <c r="C177" s="3" t="s">
        <v>10</v>
      </c>
      <c r="D177" s="9">
        <v>149.599999999999</v>
      </c>
    </row>
    <row r="178" spans="1:4" x14ac:dyDescent="0.2">
      <c r="A178" s="3" t="s">
        <v>121</v>
      </c>
      <c r="B178" s="5">
        <v>45920.625</v>
      </c>
      <c r="C178" s="3" t="s">
        <v>49</v>
      </c>
      <c r="D178" s="9">
        <v>205.2</v>
      </c>
    </row>
    <row r="179" spans="1:4" x14ac:dyDescent="0.2">
      <c r="A179" s="2"/>
      <c r="B179" s="5">
        <v>45920.642361111109</v>
      </c>
      <c r="C179" s="3" t="s">
        <v>122</v>
      </c>
      <c r="D179" s="9">
        <v>1285.27</v>
      </c>
    </row>
    <row r="180" spans="1:4" x14ac:dyDescent="0.2">
      <c r="A180" s="3" t="s">
        <v>123</v>
      </c>
      <c r="B180" s="5">
        <v>45923.416666666664</v>
      </c>
      <c r="C180" s="3" t="s">
        <v>95</v>
      </c>
      <c r="D180" s="9">
        <v>102.6</v>
      </c>
    </row>
    <row r="181" spans="1:4" x14ac:dyDescent="0.2">
      <c r="A181" s="2"/>
      <c r="B181" s="5">
        <v>45924.458333333336</v>
      </c>
      <c r="C181" s="3" t="s">
        <v>20</v>
      </c>
      <c r="D181" s="9">
        <v>196</v>
      </c>
    </row>
    <row r="182" spans="1:4" x14ac:dyDescent="0.2">
      <c r="A182" s="3" t="s">
        <v>124</v>
      </c>
      <c r="B182" s="5">
        <v>45925.416666666664</v>
      </c>
      <c r="C182" s="3" t="s">
        <v>96</v>
      </c>
      <c r="D182" s="9">
        <v>456</v>
      </c>
    </row>
    <row r="183" spans="1:4" x14ac:dyDescent="0.2">
      <c r="A183" s="3" t="s">
        <v>125</v>
      </c>
      <c r="B183" s="5">
        <v>45925.479166666664</v>
      </c>
      <c r="C183" s="3" t="s">
        <v>16</v>
      </c>
      <c r="D183" s="9">
        <v>114</v>
      </c>
    </row>
    <row r="184" spans="1:4" x14ac:dyDescent="0.2">
      <c r="A184" s="2"/>
      <c r="B184" s="5">
        <v>45927.53125</v>
      </c>
      <c r="C184" s="3" t="s">
        <v>96</v>
      </c>
      <c r="D184" s="9">
        <v>70.680000000000007</v>
      </c>
    </row>
    <row r="185" spans="1:4" x14ac:dyDescent="0.2">
      <c r="A185" s="3" t="s">
        <v>126</v>
      </c>
      <c r="B185" s="5">
        <v>45927.770833333336</v>
      </c>
      <c r="C185" s="3" t="s">
        <v>95</v>
      </c>
      <c r="D185" s="9">
        <v>47.88</v>
      </c>
    </row>
    <row r="186" spans="1:4" x14ac:dyDescent="0.2">
      <c r="A186" s="2"/>
      <c r="B186" s="5">
        <v>45928.53125</v>
      </c>
      <c r="C186" s="3" t="s">
        <v>95</v>
      </c>
      <c r="D186" s="9">
        <v>57</v>
      </c>
    </row>
    <row r="187" spans="1:4" x14ac:dyDescent="0.2">
      <c r="A187" s="3" t="s">
        <v>127</v>
      </c>
      <c r="B187" s="5">
        <v>45929.375</v>
      </c>
      <c r="C187" s="3" t="s">
        <v>73</v>
      </c>
      <c r="D187" s="9">
        <v>91.199999999999903</v>
      </c>
    </row>
    <row r="188" spans="1:4" x14ac:dyDescent="0.2">
      <c r="A188" s="2"/>
      <c r="B188" s="5">
        <v>45929.53125</v>
      </c>
      <c r="C188" s="3" t="s">
        <v>83</v>
      </c>
      <c r="D188" s="9">
        <v>95.76</v>
      </c>
    </row>
    <row r="189" spans="1:4" x14ac:dyDescent="0.2">
      <c r="A189" s="3" t="s">
        <v>128</v>
      </c>
      <c r="B189" s="5">
        <v>45930.5625</v>
      </c>
      <c r="C189" s="3" t="s">
        <v>20</v>
      </c>
      <c r="D189" s="9">
        <v>135.66</v>
      </c>
    </row>
    <row r="190" spans="1:4" x14ac:dyDescent="0.2">
      <c r="A190" s="2"/>
      <c r="B190" s="6"/>
      <c r="C190" s="2"/>
      <c r="D190" s="10"/>
    </row>
    <row r="191" spans="1:4" ht="18" customHeight="1" x14ac:dyDescent="0.2">
      <c r="A191" s="32" t="s">
        <v>129</v>
      </c>
      <c r="B191" s="32"/>
      <c r="C191" s="32"/>
      <c r="D191" s="32"/>
    </row>
    <row r="192" spans="1:4" x14ac:dyDescent="0.2">
      <c r="A192" s="3" t="s">
        <v>130</v>
      </c>
      <c r="B192" s="5">
        <v>45901.417361111111</v>
      </c>
      <c r="C192" s="3" t="s">
        <v>96</v>
      </c>
      <c r="D192" s="9">
        <v>40.5</v>
      </c>
    </row>
    <row r="193" spans="1:4" x14ac:dyDescent="0.2">
      <c r="A193" s="29" t="s">
        <v>275</v>
      </c>
      <c r="B193" s="5">
        <v>45901</v>
      </c>
      <c r="C193" s="3" t="s">
        <v>96</v>
      </c>
      <c r="D193" s="9">
        <v>40.5</v>
      </c>
    </row>
    <row r="194" spans="1:4" x14ac:dyDescent="0.2">
      <c r="A194" s="3" t="s">
        <v>131</v>
      </c>
      <c r="B194" s="5">
        <v>45901.4375</v>
      </c>
      <c r="C194" s="3" t="s">
        <v>29</v>
      </c>
      <c r="D194" s="9">
        <v>87.96</v>
      </c>
    </row>
    <row r="195" spans="1:4" x14ac:dyDescent="0.2">
      <c r="A195" s="3" t="s">
        <v>132</v>
      </c>
      <c r="B195" s="5">
        <v>45901.645833333336</v>
      </c>
      <c r="C195" s="3" t="s">
        <v>10</v>
      </c>
      <c r="D195" s="9">
        <v>63.49</v>
      </c>
    </row>
    <row r="196" spans="1:4" x14ac:dyDescent="0.2">
      <c r="A196" s="3" t="s">
        <v>133</v>
      </c>
      <c r="B196" s="5">
        <v>45901.666666666664</v>
      </c>
      <c r="C196" s="3" t="s">
        <v>12</v>
      </c>
      <c r="D196" s="9">
        <v>105.36</v>
      </c>
    </row>
    <row r="197" spans="1:4" x14ac:dyDescent="0.2">
      <c r="A197" s="3" t="s">
        <v>134</v>
      </c>
      <c r="B197" s="5">
        <v>45902.708333333336</v>
      </c>
      <c r="C197" s="3" t="s">
        <v>65</v>
      </c>
      <c r="D197" s="9">
        <v>54</v>
      </c>
    </row>
    <row r="198" spans="1:4" x14ac:dyDescent="0.2">
      <c r="A198" s="29" t="s">
        <v>277</v>
      </c>
      <c r="B198" s="5">
        <v>45902</v>
      </c>
      <c r="C198" s="3" t="s">
        <v>83</v>
      </c>
      <c r="D198" s="9">
        <v>44</v>
      </c>
    </row>
    <row r="199" spans="1:4" x14ac:dyDescent="0.2">
      <c r="A199" s="3" t="s">
        <v>135</v>
      </c>
      <c r="B199" s="5">
        <v>45902.75</v>
      </c>
      <c r="C199" s="3" t="s">
        <v>16</v>
      </c>
      <c r="D199" s="9">
        <v>88.9</v>
      </c>
    </row>
    <row r="200" spans="1:4" x14ac:dyDescent="0.2">
      <c r="A200" s="3" t="s">
        <v>136</v>
      </c>
      <c r="B200" s="5">
        <v>45902.854166666664</v>
      </c>
      <c r="C200" s="3" t="s">
        <v>16</v>
      </c>
      <c r="D200" s="9">
        <v>94.4</v>
      </c>
    </row>
    <row r="201" spans="1:4" x14ac:dyDescent="0.2">
      <c r="A201" s="3" t="s">
        <v>137</v>
      </c>
      <c r="B201" s="5">
        <v>45903.458333333336</v>
      </c>
      <c r="C201" s="3" t="s">
        <v>10</v>
      </c>
      <c r="D201" s="9">
        <v>77.98</v>
      </c>
    </row>
    <row r="202" spans="1:4" x14ac:dyDescent="0.2">
      <c r="A202" s="3" t="s">
        <v>138</v>
      </c>
      <c r="B202" s="5">
        <v>45903.614583333336</v>
      </c>
      <c r="C202" s="3" t="s">
        <v>65</v>
      </c>
      <c r="D202" s="9">
        <v>51</v>
      </c>
    </row>
    <row r="203" spans="1:4" x14ac:dyDescent="0.2">
      <c r="A203" s="3" t="s">
        <v>139</v>
      </c>
      <c r="B203" s="5">
        <v>45904.5</v>
      </c>
      <c r="C203" s="3" t="s">
        <v>20</v>
      </c>
      <c r="D203" s="9">
        <v>172.06</v>
      </c>
    </row>
    <row r="204" spans="1:4" x14ac:dyDescent="0.2">
      <c r="A204" s="3" t="s">
        <v>140</v>
      </c>
      <c r="B204" s="5">
        <v>45904.572916666664</v>
      </c>
      <c r="C204" s="3" t="s">
        <v>29</v>
      </c>
      <c r="D204" s="9">
        <v>99.48</v>
      </c>
    </row>
    <row r="205" spans="1:4" x14ac:dyDescent="0.2">
      <c r="A205" s="3" t="s">
        <v>141</v>
      </c>
      <c r="B205" s="5">
        <v>45904.604166666664</v>
      </c>
      <c r="C205" s="3" t="s">
        <v>10</v>
      </c>
      <c r="D205" s="9">
        <v>112</v>
      </c>
    </row>
    <row r="206" spans="1:4" x14ac:dyDescent="0.2">
      <c r="A206" s="3" t="s">
        <v>142</v>
      </c>
      <c r="B206" s="5">
        <v>45904.854166666664</v>
      </c>
      <c r="C206" s="3" t="s">
        <v>29</v>
      </c>
      <c r="D206" s="9">
        <v>140.58000000000001</v>
      </c>
    </row>
    <row r="207" spans="1:4" x14ac:dyDescent="0.2">
      <c r="A207" s="3" t="s">
        <v>143</v>
      </c>
      <c r="B207" s="5">
        <v>45905.5</v>
      </c>
      <c r="C207" s="3" t="s">
        <v>10</v>
      </c>
      <c r="D207" s="9">
        <v>66.010000000000005</v>
      </c>
    </row>
    <row r="208" spans="1:4" x14ac:dyDescent="0.2">
      <c r="A208" s="29" t="s">
        <v>278</v>
      </c>
      <c r="B208" s="5">
        <v>45905</v>
      </c>
      <c r="C208" s="3" t="s">
        <v>83</v>
      </c>
      <c r="D208" s="9">
        <v>49</v>
      </c>
    </row>
    <row r="209" spans="1:4" x14ac:dyDescent="0.2">
      <c r="A209" s="3" t="s">
        <v>144</v>
      </c>
      <c r="B209" s="5">
        <v>45905.666666666664</v>
      </c>
      <c r="C209" s="3" t="s">
        <v>145</v>
      </c>
      <c r="D209" s="9">
        <v>219.25</v>
      </c>
    </row>
    <row r="210" spans="1:4" x14ac:dyDescent="0.2">
      <c r="A210" s="3" t="s">
        <v>146</v>
      </c>
      <c r="B210" s="5">
        <v>45906.416666666664</v>
      </c>
      <c r="C210" s="3" t="s">
        <v>73</v>
      </c>
      <c r="D210" s="9">
        <v>65</v>
      </c>
    </row>
    <row r="211" spans="1:4" x14ac:dyDescent="0.2">
      <c r="A211" s="3" t="s">
        <v>147</v>
      </c>
      <c r="B211" s="5">
        <v>45906.416666666664</v>
      </c>
      <c r="C211" s="3" t="s">
        <v>37</v>
      </c>
      <c r="D211" s="9">
        <v>88.14</v>
      </c>
    </row>
    <row r="212" spans="1:4" x14ac:dyDescent="0.2">
      <c r="A212" s="3" t="s">
        <v>148</v>
      </c>
      <c r="B212" s="5">
        <v>45906.4375</v>
      </c>
      <c r="C212" s="3" t="s">
        <v>73</v>
      </c>
      <c r="D212" s="9">
        <v>52</v>
      </c>
    </row>
    <row r="213" spans="1:4" x14ac:dyDescent="0.2">
      <c r="A213" s="3" t="s">
        <v>149</v>
      </c>
      <c r="B213" s="5">
        <v>45906.458333333336</v>
      </c>
      <c r="C213" s="3" t="s">
        <v>65</v>
      </c>
      <c r="D213" s="9">
        <v>93</v>
      </c>
    </row>
    <row r="214" spans="1:4" x14ac:dyDescent="0.2">
      <c r="A214" s="3" t="s">
        <v>150</v>
      </c>
      <c r="B214" s="5">
        <v>45907.4375</v>
      </c>
      <c r="C214" s="3" t="s">
        <v>10</v>
      </c>
      <c r="D214" s="9">
        <v>63.98</v>
      </c>
    </row>
    <row r="215" spans="1:4" x14ac:dyDescent="0.2">
      <c r="A215" s="3" t="s">
        <v>151</v>
      </c>
      <c r="B215" s="5">
        <v>45907.520833333336</v>
      </c>
      <c r="C215" s="3" t="s">
        <v>83</v>
      </c>
      <c r="D215" s="9">
        <v>60</v>
      </c>
    </row>
    <row r="216" spans="1:4" x14ac:dyDescent="0.2">
      <c r="A216" s="3" t="s">
        <v>152</v>
      </c>
      <c r="B216" s="5">
        <v>45907.708333333336</v>
      </c>
      <c r="C216" s="3" t="s">
        <v>10</v>
      </c>
      <c r="D216" s="9">
        <v>63.98</v>
      </c>
    </row>
    <row r="217" spans="1:4" x14ac:dyDescent="0.2">
      <c r="A217" s="3" t="s">
        <v>153</v>
      </c>
      <c r="B217" s="5">
        <v>45907.75</v>
      </c>
      <c r="C217" s="3" t="s">
        <v>65</v>
      </c>
      <c r="D217" s="9">
        <v>54</v>
      </c>
    </row>
    <row r="218" spans="1:4" x14ac:dyDescent="0.2">
      <c r="A218" s="3" t="s">
        <v>154</v>
      </c>
      <c r="B218" s="5">
        <v>45907.854166666664</v>
      </c>
      <c r="C218" s="3" t="s">
        <v>83</v>
      </c>
      <c r="D218" s="9">
        <v>50</v>
      </c>
    </row>
    <row r="219" spans="1:4" x14ac:dyDescent="0.2">
      <c r="A219" s="3" t="s">
        <v>155</v>
      </c>
      <c r="B219" s="5">
        <v>45908.416666666664</v>
      </c>
      <c r="C219" s="3" t="s">
        <v>16</v>
      </c>
      <c r="D219" s="9">
        <v>74.58</v>
      </c>
    </row>
    <row r="220" spans="1:4" x14ac:dyDescent="0.2">
      <c r="A220" s="3" t="s">
        <v>156</v>
      </c>
      <c r="B220" s="5">
        <v>45908.583333333336</v>
      </c>
      <c r="C220" s="3" t="s">
        <v>16</v>
      </c>
      <c r="D220" s="9">
        <v>82.9</v>
      </c>
    </row>
    <row r="221" spans="1:4" x14ac:dyDescent="0.2">
      <c r="A221" s="3" t="s">
        <v>157</v>
      </c>
      <c r="B221" s="5">
        <v>45908.666666666664</v>
      </c>
      <c r="C221" s="3" t="s">
        <v>80</v>
      </c>
      <c r="D221" s="9">
        <v>61.04</v>
      </c>
    </row>
    <row r="222" spans="1:4" x14ac:dyDescent="0.2">
      <c r="A222" s="3" t="s">
        <v>158</v>
      </c>
      <c r="B222" s="5">
        <v>45908.854166666664</v>
      </c>
      <c r="C222" s="3" t="s">
        <v>29</v>
      </c>
      <c r="D222" s="9">
        <v>97.79</v>
      </c>
    </row>
    <row r="223" spans="1:4" x14ac:dyDescent="0.2">
      <c r="A223" s="3" t="s">
        <v>159</v>
      </c>
      <c r="B223" s="5">
        <v>45909.4375</v>
      </c>
      <c r="C223" s="3" t="s">
        <v>65</v>
      </c>
      <c r="D223" s="9">
        <v>52.99</v>
      </c>
    </row>
    <row r="224" spans="1:4" x14ac:dyDescent="0.2">
      <c r="A224" s="3" t="s">
        <v>160</v>
      </c>
      <c r="B224" s="5">
        <v>45909.5</v>
      </c>
      <c r="C224" s="3" t="s">
        <v>10</v>
      </c>
      <c r="D224" s="9">
        <v>93.04</v>
      </c>
    </row>
    <row r="225" spans="1:4" x14ac:dyDescent="0.2">
      <c r="A225" s="3" t="s">
        <v>161</v>
      </c>
      <c r="B225" s="5">
        <v>45909.5625</v>
      </c>
      <c r="C225" s="3" t="s">
        <v>16</v>
      </c>
      <c r="D225" s="9">
        <v>479.4</v>
      </c>
    </row>
    <row r="226" spans="1:4" x14ac:dyDescent="0.2">
      <c r="A226" s="3" t="s">
        <v>162</v>
      </c>
      <c r="B226" s="5">
        <v>45909.666666666664</v>
      </c>
      <c r="C226" s="3" t="s">
        <v>10</v>
      </c>
      <c r="D226" s="9">
        <v>87.99</v>
      </c>
    </row>
    <row r="227" spans="1:4" x14ac:dyDescent="0.2">
      <c r="A227" s="3" t="s">
        <v>163</v>
      </c>
      <c r="B227" s="5">
        <v>45909.75</v>
      </c>
      <c r="C227" s="3" t="s">
        <v>65</v>
      </c>
      <c r="D227" s="9">
        <v>55.02</v>
      </c>
    </row>
    <row r="228" spans="1:4" x14ac:dyDescent="0.2">
      <c r="A228" s="3" t="s">
        <v>164</v>
      </c>
      <c r="B228" s="5">
        <v>45910.4375</v>
      </c>
      <c r="C228" s="3" t="s">
        <v>65</v>
      </c>
      <c r="D228" s="9">
        <v>160.02000000000001</v>
      </c>
    </row>
    <row r="229" spans="1:4" x14ac:dyDescent="0.2">
      <c r="A229" s="3" t="s">
        <v>165</v>
      </c>
      <c r="B229" s="5">
        <v>45911.59375</v>
      </c>
      <c r="C229" s="3" t="s">
        <v>73</v>
      </c>
      <c r="D229" s="9">
        <v>42.5</v>
      </c>
    </row>
    <row r="230" spans="1:4" x14ac:dyDescent="0.2">
      <c r="A230" s="3" t="s">
        <v>166</v>
      </c>
      <c r="B230" s="5">
        <v>45911.697916666664</v>
      </c>
      <c r="C230" s="3" t="s">
        <v>16</v>
      </c>
      <c r="D230" s="9">
        <v>87.8</v>
      </c>
    </row>
    <row r="231" spans="1:4" x14ac:dyDescent="0.2">
      <c r="A231" s="3" t="s">
        <v>167</v>
      </c>
      <c r="B231" s="5">
        <v>45911.708333333336</v>
      </c>
      <c r="C231" s="3" t="s">
        <v>96</v>
      </c>
      <c r="D231" s="9">
        <v>138</v>
      </c>
    </row>
    <row r="232" spans="1:4" x14ac:dyDescent="0.2">
      <c r="A232" s="3" t="s">
        <v>168</v>
      </c>
      <c r="B232" s="5">
        <v>45911.760416666664</v>
      </c>
      <c r="C232" s="3" t="s">
        <v>16</v>
      </c>
      <c r="D232" s="9">
        <v>86.7</v>
      </c>
    </row>
    <row r="233" spans="1:4" x14ac:dyDescent="0.2">
      <c r="A233" s="3" t="s">
        <v>169</v>
      </c>
      <c r="B233" s="5">
        <v>45911.832638888889</v>
      </c>
      <c r="C233" s="3" t="s">
        <v>49</v>
      </c>
      <c r="D233" s="9">
        <v>127.98</v>
      </c>
    </row>
    <row r="234" spans="1:4" x14ac:dyDescent="0.2">
      <c r="A234" s="3" t="s">
        <v>170</v>
      </c>
      <c r="B234" s="5">
        <v>45911.895833333336</v>
      </c>
      <c r="C234" s="3" t="s">
        <v>10</v>
      </c>
      <c r="D234" s="9">
        <v>101.01</v>
      </c>
    </row>
    <row r="235" spans="1:4" x14ac:dyDescent="0.2">
      <c r="A235" s="3" t="s">
        <v>171</v>
      </c>
      <c r="B235" s="5">
        <v>45912.395833333336</v>
      </c>
      <c r="C235" s="3" t="s">
        <v>80</v>
      </c>
      <c r="D235" s="9">
        <v>65.97</v>
      </c>
    </row>
    <row r="236" spans="1:4" x14ac:dyDescent="0.2">
      <c r="A236" s="3" t="s">
        <v>172</v>
      </c>
      <c r="B236" s="5">
        <v>45912.479166666664</v>
      </c>
      <c r="C236" s="3" t="s">
        <v>96</v>
      </c>
      <c r="D236" s="9">
        <v>50.01</v>
      </c>
    </row>
    <row r="237" spans="1:4" x14ac:dyDescent="0.2">
      <c r="A237" s="3" t="s">
        <v>173</v>
      </c>
      <c r="B237" s="5">
        <v>45912.642361111109</v>
      </c>
      <c r="C237" s="3" t="s">
        <v>37</v>
      </c>
      <c r="D237" s="9">
        <v>124.04</v>
      </c>
    </row>
    <row r="238" spans="1:4" x14ac:dyDescent="0.2">
      <c r="A238" s="3" t="s">
        <v>174</v>
      </c>
      <c r="B238" s="5">
        <v>45912.885416666664</v>
      </c>
      <c r="C238" s="3" t="s">
        <v>65</v>
      </c>
      <c r="D238" s="9">
        <v>55.98</v>
      </c>
    </row>
    <row r="239" spans="1:4" x14ac:dyDescent="0.2">
      <c r="A239" s="3" t="s">
        <v>175</v>
      </c>
      <c r="B239" s="5">
        <v>45913.416666666664</v>
      </c>
      <c r="C239" s="3" t="s">
        <v>65</v>
      </c>
      <c r="D239" s="9">
        <v>49.5</v>
      </c>
    </row>
    <row r="240" spans="1:4" x14ac:dyDescent="0.2">
      <c r="A240" s="3" t="s">
        <v>176</v>
      </c>
      <c r="B240" s="5">
        <v>45913.458333333336</v>
      </c>
      <c r="C240" s="3" t="s">
        <v>73</v>
      </c>
      <c r="D240" s="9">
        <v>50</v>
      </c>
    </row>
    <row r="241" spans="1:4" x14ac:dyDescent="0.2">
      <c r="A241" s="3" t="s">
        <v>177</v>
      </c>
      <c r="B241" s="5">
        <v>45913.625</v>
      </c>
      <c r="C241" s="3" t="s">
        <v>10</v>
      </c>
      <c r="D241" s="9">
        <v>59.99</v>
      </c>
    </row>
    <row r="242" spans="1:4" x14ac:dyDescent="0.2">
      <c r="A242" s="3" t="s">
        <v>178</v>
      </c>
      <c r="B242" s="5">
        <v>45913.770833333336</v>
      </c>
      <c r="C242" s="3" t="s">
        <v>96</v>
      </c>
      <c r="D242" s="9">
        <v>50.01</v>
      </c>
    </row>
    <row r="243" spans="1:4" x14ac:dyDescent="0.2">
      <c r="A243" s="3" t="s">
        <v>179</v>
      </c>
      <c r="B243" s="5">
        <v>45914.416666666664</v>
      </c>
      <c r="C243" s="3" t="s">
        <v>73</v>
      </c>
      <c r="D243" s="9">
        <v>80</v>
      </c>
    </row>
    <row r="244" spans="1:4" x14ac:dyDescent="0.2">
      <c r="A244" s="3" t="s">
        <v>180</v>
      </c>
      <c r="B244" s="5">
        <v>45914.5</v>
      </c>
      <c r="C244" s="3" t="s">
        <v>65</v>
      </c>
      <c r="D244" s="9">
        <v>52.5</v>
      </c>
    </row>
    <row r="245" spans="1:4" x14ac:dyDescent="0.2">
      <c r="A245" s="3" t="s">
        <v>181</v>
      </c>
      <c r="B245" s="5">
        <v>45914.5</v>
      </c>
      <c r="C245" s="3" t="s">
        <v>73</v>
      </c>
      <c r="D245" s="9">
        <v>62</v>
      </c>
    </row>
    <row r="246" spans="1:4" x14ac:dyDescent="0.2">
      <c r="A246" s="3" t="s">
        <v>182</v>
      </c>
      <c r="B246" s="5">
        <v>45914.538194444445</v>
      </c>
      <c r="C246" s="3" t="s">
        <v>83</v>
      </c>
      <c r="D246" s="9">
        <v>51</v>
      </c>
    </row>
    <row r="247" spans="1:4" x14ac:dyDescent="0.2">
      <c r="A247" s="3" t="s">
        <v>183</v>
      </c>
      <c r="B247" s="5">
        <v>45914.583333333336</v>
      </c>
      <c r="C247" s="3" t="s">
        <v>37</v>
      </c>
      <c r="D247" s="9">
        <v>115.57</v>
      </c>
    </row>
    <row r="248" spans="1:4" x14ac:dyDescent="0.2">
      <c r="A248" s="3" t="s">
        <v>184</v>
      </c>
      <c r="B248" s="5">
        <v>45914.75</v>
      </c>
      <c r="C248" s="3" t="s">
        <v>80</v>
      </c>
      <c r="D248" s="9">
        <v>61.04</v>
      </c>
    </row>
    <row r="249" spans="1:4" x14ac:dyDescent="0.2">
      <c r="A249" s="3" t="s">
        <v>185</v>
      </c>
      <c r="B249" s="5">
        <v>45914.770833333336</v>
      </c>
      <c r="C249" s="3" t="s">
        <v>65</v>
      </c>
      <c r="D249" s="9">
        <v>59.28</v>
      </c>
    </row>
    <row r="250" spans="1:4" x14ac:dyDescent="0.2">
      <c r="A250" s="29" t="s">
        <v>276</v>
      </c>
      <c r="B250" s="5">
        <v>45915</v>
      </c>
      <c r="C250" s="3" t="s">
        <v>12</v>
      </c>
      <c r="D250" s="9">
        <v>178.68</v>
      </c>
    </row>
    <row r="251" spans="1:4" x14ac:dyDescent="0.2">
      <c r="A251" s="3" t="s">
        <v>186</v>
      </c>
      <c r="B251" s="5">
        <v>45915.416666666664</v>
      </c>
      <c r="C251" s="3" t="s">
        <v>73</v>
      </c>
      <c r="D251" s="9">
        <v>93</v>
      </c>
    </row>
    <row r="252" spans="1:4" x14ac:dyDescent="0.2">
      <c r="A252" s="3" t="s">
        <v>187</v>
      </c>
      <c r="B252" s="5">
        <v>45915.625</v>
      </c>
      <c r="C252" s="3" t="s">
        <v>29</v>
      </c>
      <c r="D252" s="9">
        <v>91.79</v>
      </c>
    </row>
    <row r="253" spans="1:4" x14ac:dyDescent="0.2">
      <c r="A253" s="3" t="s">
        <v>188</v>
      </c>
      <c r="B253" s="5">
        <v>45916.416666666664</v>
      </c>
      <c r="C253" s="3" t="s">
        <v>95</v>
      </c>
      <c r="D253" s="9">
        <v>42</v>
      </c>
    </row>
    <row r="254" spans="1:4" x14ac:dyDescent="0.2">
      <c r="A254" s="3" t="s">
        <v>189</v>
      </c>
      <c r="B254" s="5">
        <v>45916.416666666664</v>
      </c>
      <c r="C254" s="3" t="s">
        <v>10</v>
      </c>
      <c r="D254" s="9">
        <v>84.4</v>
      </c>
    </row>
    <row r="255" spans="1:4" x14ac:dyDescent="0.2">
      <c r="A255" s="3" t="s">
        <v>190</v>
      </c>
      <c r="B255" s="5">
        <v>45916.770833333336</v>
      </c>
      <c r="C255" s="3" t="s">
        <v>29</v>
      </c>
      <c r="D255" s="9">
        <v>95.37</v>
      </c>
    </row>
    <row r="256" spans="1:4" x14ac:dyDescent="0.2">
      <c r="A256" s="3" t="s">
        <v>191</v>
      </c>
      <c r="B256" s="5">
        <v>45917.458333333336</v>
      </c>
      <c r="C256" s="3" t="s">
        <v>83</v>
      </c>
      <c r="D256" s="9">
        <v>106</v>
      </c>
    </row>
    <row r="257" spans="1:4" x14ac:dyDescent="0.2">
      <c r="A257" s="3" t="s">
        <v>192</v>
      </c>
      <c r="B257" s="5">
        <v>45917.645833333336</v>
      </c>
      <c r="C257" s="3" t="s">
        <v>60</v>
      </c>
      <c r="D257" s="9">
        <v>208.6</v>
      </c>
    </row>
    <row r="258" spans="1:4" x14ac:dyDescent="0.2">
      <c r="A258" s="3" t="s">
        <v>193</v>
      </c>
      <c r="B258" s="5">
        <v>45918.395833333336</v>
      </c>
      <c r="C258" s="3" t="s">
        <v>95</v>
      </c>
      <c r="D258" s="9">
        <v>60</v>
      </c>
    </row>
    <row r="259" spans="1:4" x14ac:dyDescent="0.2">
      <c r="A259" s="3" t="s">
        <v>194</v>
      </c>
      <c r="B259" s="5">
        <v>45918.416666666664</v>
      </c>
      <c r="C259" s="3" t="s">
        <v>94</v>
      </c>
      <c r="D259" s="9">
        <v>58</v>
      </c>
    </row>
    <row r="260" spans="1:4" x14ac:dyDescent="0.2">
      <c r="A260" s="3" t="s">
        <v>195</v>
      </c>
      <c r="B260" s="5">
        <v>45918.5</v>
      </c>
      <c r="C260" s="3" t="s">
        <v>10</v>
      </c>
      <c r="D260" s="9">
        <v>93.04</v>
      </c>
    </row>
    <row r="261" spans="1:4" x14ac:dyDescent="0.2">
      <c r="A261" s="3" t="s">
        <v>196</v>
      </c>
      <c r="B261" s="5">
        <v>45918.5</v>
      </c>
      <c r="C261" s="3" t="s">
        <v>10</v>
      </c>
      <c r="D261" s="9">
        <v>113.04</v>
      </c>
    </row>
    <row r="262" spans="1:4" x14ac:dyDescent="0.2">
      <c r="A262" s="3" t="s">
        <v>197</v>
      </c>
      <c r="B262" s="5">
        <v>45918.583333333336</v>
      </c>
      <c r="C262" s="3" t="s">
        <v>37</v>
      </c>
      <c r="D262" s="9">
        <v>182</v>
      </c>
    </row>
    <row r="263" spans="1:4" x14ac:dyDescent="0.2">
      <c r="A263" s="3" t="s">
        <v>198</v>
      </c>
      <c r="B263" s="5">
        <v>45918.652777777781</v>
      </c>
      <c r="C263" s="3" t="s">
        <v>10</v>
      </c>
      <c r="D263" s="9">
        <v>366.03</v>
      </c>
    </row>
    <row r="264" spans="1:4" x14ac:dyDescent="0.2">
      <c r="A264" s="3" t="s">
        <v>199</v>
      </c>
      <c r="B264" s="5">
        <v>45918.725694444445</v>
      </c>
      <c r="C264" s="3" t="s">
        <v>73</v>
      </c>
      <c r="D264" s="9">
        <v>50</v>
      </c>
    </row>
    <row r="265" spans="1:4" x14ac:dyDescent="0.2">
      <c r="A265" s="3" t="s">
        <v>200</v>
      </c>
      <c r="B265" s="5">
        <v>45919.458333333336</v>
      </c>
      <c r="C265" s="3" t="s">
        <v>10</v>
      </c>
      <c r="D265" s="9">
        <v>113.04</v>
      </c>
    </row>
    <row r="266" spans="1:4" x14ac:dyDescent="0.2">
      <c r="A266" s="3" t="s">
        <v>201</v>
      </c>
      <c r="B266" s="5">
        <v>45919.572916666664</v>
      </c>
      <c r="C266" s="3" t="s">
        <v>83</v>
      </c>
      <c r="D266" s="9">
        <v>45</v>
      </c>
    </row>
    <row r="267" spans="1:4" x14ac:dyDescent="0.2">
      <c r="A267" s="3" t="s">
        <v>202</v>
      </c>
      <c r="B267" s="5">
        <v>45919.645833333336</v>
      </c>
      <c r="C267" s="3" t="s">
        <v>80</v>
      </c>
      <c r="D267" s="9">
        <v>74.48</v>
      </c>
    </row>
    <row r="268" spans="1:4" x14ac:dyDescent="0.2">
      <c r="A268" s="3" t="s">
        <v>203</v>
      </c>
      <c r="B268" s="5">
        <v>45919.708333333336</v>
      </c>
      <c r="C268" s="3" t="s">
        <v>80</v>
      </c>
      <c r="D268" s="9">
        <v>71.040000000000006</v>
      </c>
    </row>
    <row r="269" spans="1:4" x14ac:dyDescent="0.2">
      <c r="A269" s="3" t="s">
        <v>204</v>
      </c>
      <c r="B269" s="5">
        <v>45919.833333333336</v>
      </c>
      <c r="C269" s="3" t="s">
        <v>10</v>
      </c>
      <c r="D269" s="9">
        <v>58.52</v>
      </c>
    </row>
    <row r="270" spans="1:4" x14ac:dyDescent="0.2">
      <c r="A270" s="3" t="s">
        <v>205</v>
      </c>
      <c r="B270" s="5">
        <v>45921.604166666664</v>
      </c>
      <c r="C270" s="3" t="s">
        <v>10</v>
      </c>
      <c r="D270" s="9">
        <v>57.47</v>
      </c>
    </row>
    <row r="271" spans="1:4" x14ac:dyDescent="0.2">
      <c r="A271" s="3" t="s">
        <v>206</v>
      </c>
      <c r="B271" s="5">
        <v>45921.625</v>
      </c>
      <c r="C271" s="3" t="s">
        <v>10</v>
      </c>
      <c r="D271" s="9">
        <v>63</v>
      </c>
    </row>
    <row r="272" spans="1:4" x14ac:dyDescent="0.2">
      <c r="A272" s="3" t="s">
        <v>207</v>
      </c>
      <c r="B272" s="5">
        <v>45922.375</v>
      </c>
      <c r="C272" s="3" t="s">
        <v>83</v>
      </c>
      <c r="D272" s="9">
        <v>109.98</v>
      </c>
    </row>
    <row r="273" spans="1:4" x14ac:dyDescent="0.2">
      <c r="A273" s="3" t="s">
        <v>208</v>
      </c>
      <c r="B273" s="5">
        <v>45922.416666666664</v>
      </c>
      <c r="C273" s="3" t="s">
        <v>73</v>
      </c>
      <c r="D273" s="9">
        <v>84</v>
      </c>
    </row>
    <row r="274" spans="1:4" x14ac:dyDescent="0.2">
      <c r="A274" s="3" t="s">
        <v>209</v>
      </c>
      <c r="B274" s="5">
        <v>45922.583333333336</v>
      </c>
      <c r="C274" s="3" t="s">
        <v>49</v>
      </c>
      <c r="D274" s="9">
        <v>62.01</v>
      </c>
    </row>
    <row r="275" spans="1:4" x14ac:dyDescent="0.2">
      <c r="A275" s="3" t="s">
        <v>210</v>
      </c>
      <c r="B275" s="5">
        <v>45922.708333333336</v>
      </c>
      <c r="C275" s="3" t="s">
        <v>49</v>
      </c>
      <c r="D275" s="9">
        <v>81</v>
      </c>
    </row>
    <row r="276" spans="1:4" x14ac:dyDescent="0.2">
      <c r="A276" s="3" t="s">
        <v>211</v>
      </c>
      <c r="B276" s="5">
        <v>45924.416666666664</v>
      </c>
      <c r="C276" s="3" t="s">
        <v>95</v>
      </c>
      <c r="D276" s="9">
        <v>63</v>
      </c>
    </row>
    <row r="277" spans="1:4" x14ac:dyDescent="0.2">
      <c r="A277" s="3" t="s">
        <v>212</v>
      </c>
      <c r="B277" s="5">
        <v>45925.625</v>
      </c>
      <c r="C277" s="3" t="s">
        <v>10</v>
      </c>
      <c r="D277" s="9">
        <v>163.03</v>
      </c>
    </row>
    <row r="278" spans="1:4" x14ac:dyDescent="0.2">
      <c r="A278" s="3" t="s">
        <v>213</v>
      </c>
      <c r="B278" s="5">
        <v>45926.4375</v>
      </c>
      <c r="C278" s="3" t="s">
        <v>214</v>
      </c>
      <c r="D278" s="9">
        <v>614.33000000000004</v>
      </c>
    </row>
    <row r="279" spans="1:4" x14ac:dyDescent="0.2">
      <c r="A279" s="3" t="s">
        <v>215</v>
      </c>
      <c r="B279" s="5">
        <v>45927.770833333336</v>
      </c>
      <c r="C279" s="3" t="s">
        <v>12</v>
      </c>
      <c r="D279" s="9">
        <v>108</v>
      </c>
    </row>
    <row r="280" spans="1:4" x14ac:dyDescent="0.2">
      <c r="A280" s="3" t="s">
        <v>216</v>
      </c>
      <c r="B280" s="5">
        <v>45928.4375</v>
      </c>
      <c r="C280" s="3" t="s">
        <v>16</v>
      </c>
      <c r="D280" s="9">
        <v>107.8</v>
      </c>
    </row>
    <row r="281" spans="1:4" x14ac:dyDescent="0.2">
      <c r="A281" s="3" t="s">
        <v>217</v>
      </c>
      <c r="B281" s="5">
        <v>45928.447916666664</v>
      </c>
      <c r="C281" s="3" t="s">
        <v>94</v>
      </c>
      <c r="D281" s="9">
        <v>42.5</v>
      </c>
    </row>
    <row r="282" spans="1:4" x14ac:dyDescent="0.2">
      <c r="A282" s="3" t="s">
        <v>218</v>
      </c>
      <c r="B282" s="5">
        <v>45928.5625</v>
      </c>
      <c r="C282" s="3" t="s">
        <v>49</v>
      </c>
      <c r="D282" s="9">
        <v>81</v>
      </c>
    </row>
    <row r="283" spans="1:4" x14ac:dyDescent="0.2">
      <c r="A283" s="3" t="s">
        <v>219</v>
      </c>
      <c r="B283" s="5">
        <v>45930.625</v>
      </c>
      <c r="C283" s="3" t="s">
        <v>220</v>
      </c>
      <c r="D283" s="9">
        <v>372.93</v>
      </c>
    </row>
    <row r="284" spans="1:4" x14ac:dyDescent="0.2">
      <c r="A284" s="2"/>
      <c r="B284" s="6"/>
      <c r="C284" s="2"/>
      <c r="D284" s="10"/>
    </row>
    <row r="285" spans="1:4" ht="18" customHeight="1" x14ac:dyDescent="0.2">
      <c r="A285" s="32" t="s">
        <v>223</v>
      </c>
      <c r="B285" s="32"/>
      <c r="C285" s="32"/>
      <c r="D285" s="32"/>
    </row>
    <row r="286" spans="1:4" x14ac:dyDescent="0.2">
      <c r="A286" s="3" t="s">
        <v>224</v>
      </c>
      <c r="B286" s="5">
        <v>45901.4375</v>
      </c>
      <c r="C286" s="3" t="s">
        <v>65</v>
      </c>
      <c r="D286" s="9">
        <v>91</v>
      </c>
    </row>
    <row r="287" spans="1:4" x14ac:dyDescent="0.2">
      <c r="A287" s="3" t="s">
        <v>225</v>
      </c>
      <c r="B287" s="5">
        <v>45902.75</v>
      </c>
      <c r="C287" s="3" t="s">
        <v>96</v>
      </c>
      <c r="D287" s="9">
        <v>38.01</v>
      </c>
    </row>
    <row r="288" spans="1:4" x14ac:dyDescent="0.2">
      <c r="A288" s="3" t="s">
        <v>226</v>
      </c>
      <c r="B288" s="5">
        <v>45903.458333333336</v>
      </c>
      <c r="C288" s="3" t="s">
        <v>95</v>
      </c>
      <c r="D288" s="9">
        <v>48.99</v>
      </c>
    </row>
    <row r="289" spans="1:4" x14ac:dyDescent="0.2">
      <c r="A289" s="3" t="s">
        <v>227</v>
      </c>
      <c r="B289" s="5">
        <v>45912.385416666664</v>
      </c>
      <c r="C289" s="3" t="s">
        <v>96</v>
      </c>
      <c r="D289" s="9">
        <v>51</v>
      </c>
    </row>
    <row r="290" spans="1:4" x14ac:dyDescent="0.2">
      <c r="A290" s="3" t="s">
        <v>228</v>
      </c>
      <c r="B290" s="5">
        <v>45914.583333333336</v>
      </c>
      <c r="C290" s="3" t="s">
        <v>49</v>
      </c>
      <c r="D290" s="9">
        <v>82.2</v>
      </c>
    </row>
    <row r="291" spans="1:4" x14ac:dyDescent="0.2">
      <c r="A291" s="3" t="s">
        <v>229</v>
      </c>
      <c r="B291" s="5">
        <v>45917.708333333336</v>
      </c>
      <c r="C291" s="3" t="s">
        <v>96</v>
      </c>
      <c r="D291" s="9">
        <v>66</v>
      </c>
    </row>
    <row r="292" spans="1:4" x14ac:dyDescent="0.2">
      <c r="A292" s="3" t="s">
        <v>230</v>
      </c>
      <c r="B292" s="5">
        <v>45918.875</v>
      </c>
      <c r="C292" s="3" t="s">
        <v>98</v>
      </c>
      <c r="D292" s="9">
        <v>180.88</v>
      </c>
    </row>
    <row r="293" spans="1:4" x14ac:dyDescent="0.2">
      <c r="A293" s="3" t="s">
        <v>231</v>
      </c>
      <c r="B293" s="5">
        <v>45921.479166666664</v>
      </c>
      <c r="C293" s="3" t="s">
        <v>49</v>
      </c>
      <c r="D293" s="9">
        <v>90</v>
      </c>
    </row>
    <row r="294" spans="1:4" x14ac:dyDescent="0.2">
      <c r="A294" s="3" t="s">
        <v>232</v>
      </c>
      <c r="B294" s="5">
        <v>45921.583333333336</v>
      </c>
      <c r="C294" s="3" t="s">
        <v>49</v>
      </c>
      <c r="D294" s="9">
        <v>81.540000000000006</v>
      </c>
    </row>
    <row r="295" spans="1:4" x14ac:dyDescent="0.2">
      <c r="A295" s="3" t="s">
        <v>233</v>
      </c>
      <c r="B295" s="5">
        <v>45922.458333333336</v>
      </c>
      <c r="C295" s="3" t="s">
        <v>83</v>
      </c>
      <c r="D295" s="9">
        <v>78</v>
      </c>
    </row>
    <row r="296" spans="1:4" x14ac:dyDescent="0.2">
      <c r="A296" s="3" t="s">
        <v>234</v>
      </c>
      <c r="B296" s="5">
        <v>45922.625</v>
      </c>
      <c r="C296" s="3" t="s">
        <v>97</v>
      </c>
      <c r="D296" s="9">
        <v>330.96</v>
      </c>
    </row>
    <row r="297" spans="1:4" x14ac:dyDescent="0.2">
      <c r="A297" s="3" t="s">
        <v>235</v>
      </c>
      <c r="B297" s="5">
        <v>45923.458333333336</v>
      </c>
      <c r="C297" s="3" t="s">
        <v>83</v>
      </c>
      <c r="D297" s="9">
        <v>132</v>
      </c>
    </row>
    <row r="298" spans="1:4" x14ac:dyDescent="0.2">
      <c r="A298" s="3" t="s">
        <v>236</v>
      </c>
      <c r="B298" s="5">
        <v>45923.479166666664</v>
      </c>
      <c r="C298" s="3" t="s">
        <v>80</v>
      </c>
      <c r="D298" s="9">
        <v>65.44</v>
      </c>
    </row>
    <row r="299" spans="1:4" x14ac:dyDescent="0.2">
      <c r="A299" s="3" t="s">
        <v>237</v>
      </c>
      <c r="B299" s="5">
        <v>45923.486111111109</v>
      </c>
      <c r="C299" s="3" t="s">
        <v>49</v>
      </c>
      <c r="D299" s="9">
        <v>114.03</v>
      </c>
    </row>
    <row r="300" spans="1:4" x14ac:dyDescent="0.2">
      <c r="A300" s="3" t="s">
        <v>238</v>
      </c>
      <c r="B300" s="5">
        <v>45924.53125</v>
      </c>
      <c r="C300" s="3" t="s">
        <v>10</v>
      </c>
      <c r="D300" s="9">
        <v>141.41</v>
      </c>
    </row>
    <row r="301" spans="1:4" x14ac:dyDescent="0.2">
      <c r="A301" s="3" t="s">
        <v>239</v>
      </c>
      <c r="B301" s="5">
        <v>45925.458333333336</v>
      </c>
      <c r="C301" s="3" t="s">
        <v>10</v>
      </c>
      <c r="D301" s="9">
        <v>91</v>
      </c>
    </row>
    <row r="302" spans="1:4" x14ac:dyDescent="0.2">
      <c r="A302" s="2"/>
      <c r="B302" s="6"/>
      <c r="C302" s="2"/>
      <c r="D302" s="10"/>
    </row>
    <row r="303" spans="1:4" ht="18" customHeight="1" x14ac:dyDescent="0.2">
      <c r="A303" s="32" t="s">
        <v>257</v>
      </c>
      <c r="B303" s="32"/>
      <c r="C303" s="32"/>
      <c r="D303" s="32"/>
    </row>
    <row r="304" spans="1:4" x14ac:dyDescent="0.2">
      <c r="A304" s="3" t="s">
        <v>258</v>
      </c>
      <c r="B304" s="5">
        <v>45902.875</v>
      </c>
      <c r="C304" s="3" t="s">
        <v>16</v>
      </c>
      <c r="D304" s="9">
        <v>211.1</v>
      </c>
    </row>
    <row r="305" spans="1:4" x14ac:dyDescent="0.2">
      <c r="A305" s="3" t="s">
        <v>259</v>
      </c>
      <c r="B305" s="5">
        <v>45905.375</v>
      </c>
      <c r="C305" s="3" t="s">
        <v>95</v>
      </c>
      <c r="D305" s="9">
        <v>48.99</v>
      </c>
    </row>
    <row r="306" spans="1:4" x14ac:dyDescent="0.2">
      <c r="A306" s="3" t="s">
        <v>260</v>
      </c>
      <c r="B306" s="5">
        <v>45906.479166666664</v>
      </c>
      <c r="C306" s="3" t="s">
        <v>20</v>
      </c>
      <c r="D306" s="9">
        <v>122.5</v>
      </c>
    </row>
    <row r="307" spans="1:4" x14ac:dyDescent="0.2">
      <c r="A307" s="3" t="s">
        <v>261</v>
      </c>
      <c r="B307" s="5">
        <v>45906.9375</v>
      </c>
      <c r="C307" s="3" t="s">
        <v>83</v>
      </c>
      <c r="D307" s="9">
        <v>64</v>
      </c>
    </row>
    <row r="308" spans="1:4" x14ac:dyDescent="0.2">
      <c r="A308" s="3" t="s">
        <v>262</v>
      </c>
      <c r="B308" s="5">
        <v>45909.625</v>
      </c>
      <c r="C308" s="3" t="s">
        <v>96</v>
      </c>
      <c r="D308" s="9">
        <v>62.01</v>
      </c>
    </row>
    <row r="309" spans="1:4" x14ac:dyDescent="0.2">
      <c r="A309" s="3" t="s">
        <v>263</v>
      </c>
      <c r="B309" s="5">
        <v>45910.416666666664</v>
      </c>
      <c r="C309" s="3" t="s">
        <v>95</v>
      </c>
      <c r="D309" s="9">
        <v>41.5</v>
      </c>
    </row>
    <row r="310" spans="1:4" x14ac:dyDescent="0.2">
      <c r="A310" s="3" t="s">
        <v>264</v>
      </c>
      <c r="B310" s="5">
        <v>45910.458333333336</v>
      </c>
      <c r="C310" s="3" t="s">
        <v>73</v>
      </c>
      <c r="D310" s="9">
        <v>119</v>
      </c>
    </row>
    <row r="311" spans="1:4" x14ac:dyDescent="0.2">
      <c r="A311" s="3" t="s">
        <v>265</v>
      </c>
      <c r="B311" s="5">
        <v>45917.458333333336</v>
      </c>
      <c r="C311" s="3" t="s">
        <v>16</v>
      </c>
      <c r="D311" s="9">
        <v>118.58</v>
      </c>
    </row>
    <row r="312" spans="1:4" x14ac:dyDescent="0.2">
      <c r="A312" s="3" t="s">
        <v>266</v>
      </c>
      <c r="B312" s="5">
        <v>45918.416666666664</v>
      </c>
      <c r="C312" s="3" t="s">
        <v>65</v>
      </c>
      <c r="D312" s="9">
        <v>159</v>
      </c>
    </row>
    <row r="313" spans="1:4" x14ac:dyDescent="0.2">
      <c r="A313" s="3" t="s">
        <v>267</v>
      </c>
      <c r="B313" s="5">
        <v>45918.541666666664</v>
      </c>
      <c r="C313" s="3" t="s">
        <v>49</v>
      </c>
      <c r="D313" s="9">
        <v>81.540000000000006</v>
      </c>
    </row>
    <row r="314" spans="1:4" x14ac:dyDescent="0.2">
      <c r="A314" s="3" t="s">
        <v>268</v>
      </c>
      <c r="B314" s="5">
        <v>45918.541666666664</v>
      </c>
      <c r="C314" s="3" t="s">
        <v>49</v>
      </c>
      <c r="D314" s="9">
        <v>432</v>
      </c>
    </row>
    <row r="315" spans="1:4" x14ac:dyDescent="0.2">
      <c r="A315" s="3" t="s">
        <v>269</v>
      </c>
      <c r="B315" s="5">
        <v>45919.729166666664</v>
      </c>
      <c r="C315" s="3" t="s">
        <v>97</v>
      </c>
      <c r="D315" s="9">
        <v>346.92</v>
      </c>
    </row>
    <row r="316" spans="1:4" x14ac:dyDescent="0.2">
      <c r="A316" s="3" t="s">
        <v>270</v>
      </c>
      <c r="B316" s="5">
        <v>45921.416666666664</v>
      </c>
      <c r="C316" s="3" t="s">
        <v>65</v>
      </c>
      <c r="D316" s="9">
        <v>78.37</v>
      </c>
    </row>
    <row r="317" spans="1:4" x14ac:dyDescent="0.2">
      <c r="A317" s="2"/>
      <c r="B317" s="6"/>
      <c r="C317" s="2"/>
      <c r="D317" s="10"/>
    </row>
  </sheetData>
  <mergeCells count="9">
    <mergeCell ref="A303:D303"/>
    <mergeCell ref="F2:G2"/>
    <mergeCell ref="I2:J2"/>
    <mergeCell ref="A285:D285"/>
    <mergeCell ref="A2:D2"/>
    <mergeCell ref="A14:D14"/>
    <mergeCell ref="A76:D76"/>
    <mergeCell ref="A153:D153"/>
    <mergeCell ref="A191:D191"/>
  </mergeCells>
  <pageMargins left="0.75" right="0.75" top="1" bottom="1" header="0.5" footer="0.5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COMISSIONISTAS</vt:lpstr>
      <vt:lpstr>AP+API-WEB+BROKERS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Auto Prudente</cp:lastModifiedBy>
  <cp:lastPrinted>2025-09-30T18:26:48Z</cp:lastPrinted>
  <dcterms:created xsi:type="dcterms:W3CDTF">2025-09-30T18:17:58Z</dcterms:created>
  <dcterms:modified xsi:type="dcterms:W3CDTF">2025-10-08T10:17:41Z</dcterms:modified>
</cp:coreProperties>
</file>