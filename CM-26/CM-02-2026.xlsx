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ilipepacheco.autoprudente/Library/CloudStorage/GoogleDrive-comercial@auto-prudente.com/O meu disco/CM/"/>
    </mc:Choice>
  </mc:AlternateContent>
  <xr:revisionPtr revIDLastSave="0" documentId="13_ncr:1_{43B119E1-6AED-5049-8016-8D2506FB1FE0}" xr6:coauthVersionLast="47" xr6:coauthVersionMax="47" xr10:uidLastSave="{00000000-0000-0000-0000-000000000000}"/>
  <bookViews>
    <workbookView xWindow="0" yWindow="600" windowWidth="38400" windowHeight="19320" xr2:uid="{B5A45EE9-05FB-AC46-B18C-5E6C92F35548}"/>
  </bookViews>
  <sheets>
    <sheet name="COMISSIONISTAS" sheetId="2" r:id="rId1"/>
    <sheet name="AP+API-WEB+BROKERS" sheetId="1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E30" i="2"/>
  <c r="E31" i="2"/>
  <c r="E40" i="2"/>
  <c r="E39" i="2"/>
  <c r="E36" i="2"/>
  <c r="E37" i="2" s="1"/>
  <c r="E33" i="2"/>
  <c r="E34" i="2" s="1"/>
  <c r="E27" i="2"/>
  <c r="E26" i="2"/>
  <c r="E25" i="2"/>
  <c r="E28" i="2" s="1"/>
  <c r="E22" i="2"/>
  <c r="E23" i="2" s="1"/>
  <c r="E19" i="2"/>
  <c r="E20" i="2" s="1"/>
  <c r="E16" i="2"/>
  <c r="E17" i="2" s="1"/>
  <c r="E13" i="2"/>
  <c r="E14" i="2" s="1"/>
  <c r="E10" i="2"/>
  <c r="E11" i="2" s="1"/>
  <c r="E7" i="2"/>
  <c r="E6" i="2"/>
  <c r="E3" i="2"/>
  <c r="E4" i="2" s="1"/>
  <c r="E41" i="2" l="1"/>
  <c r="E8" i="2"/>
  <c r="G7" i="1" l="1"/>
  <c r="G6" i="1"/>
  <c r="G5" i="1"/>
  <c r="J9" i="1" l="1"/>
  <c r="G9" i="1"/>
</calcChain>
</file>

<file path=xl/sharedStrings.xml><?xml version="1.0" encoding="utf-8"?>
<sst xmlns="http://schemas.openxmlformats.org/spreadsheetml/2006/main" count="259" uniqueCount="133">
  <si>
    <t>Voucher</t>
  </si>
  <si>
    <t>Data Entrega</t>
  </si>
  <si>
    <t>Dias</t>
  </si>
  <si>
    <t>Loyalty Card</t>
  </si>
  <si>
    <t>ABBYCAR-PREPAID</t>
  </si>
  <si>
    <t>46278682</t>
  </si>
  <si>
    <t>7</t>
  </si>
  <si>
    <t>CJT-200959808</t>
  </si>
  <si>
    <t>2</t>
  </si>
  <si>
    <t>AP</t>
  </si>
  <si>
    <t>3</t>
  </si>
  <si>
    <t>100</t>
  </si>
  <si>
    <t>21</t>
  </si>
  <si>
    <t>4</t>
  </si>
  <si>
    <t>24</t>
  </si>
  <si>
    <t>10</t>
  </si>
  <si>
    <t>1</t>
  </si>
  <si>
    <t>23</t>
  </si>
  <si>
    <t>15</t>
  </si>
  <si>
    <t>50€ - V 8917</t>
  </si>
  <si>
    <t>12</t>
  </si>
  <si>
    <t>5</t>
  </si>
  <si>
    <t>6</t>
  </si>
  <si>
    <t>26</t>
  </si>
  <si>
    <t>API-WEB</t>
  </si>
  <si>
    <t>B-0000024123</t>
  </si>
  <si>
    <t>31</t>
  </si>
  <si>
    <t>B-0000023762</t>
  </si>
  <si>
    <t>B-0000024137</t>
  </si>
  <si>
    <t>B-0000024156</t>
  </si>
  <si>
    <t>B-0000024171</t>
  </si>
  <si>
    <t>8</t>
  </si>
  <si>
    <t>B-0000024175</t>
  </si>
  <si>
    <t>B-0000024081</t>
  </si>
  <si>
    <t>B-0000023623</t>
  </si>
  <si>
    <t>B-0000024198</t>
  </si>
  <si>
    <t>B-0000024221</t>
  </si>
  <si>
    <t>B-0000024210</t>
  </si>
  <si>
    <t>B-0000024223</t>
  </si>
  <si>
    <t>B-0000024218</t>
  </si>
  <si>
    <t>B-0000024193</t>
  </si>
  <si>
    <t>B-0000024259</t>
  </si>
  <si>
    <t>B-0000024294</t>
  </si>
  <si>
    <t>B-0000024296</t>
  </si>
  <si>
    <t>B-0000024252</t>
  </si>
  <si>
    <t>14</t>
  </si>
  <si>
    <t>AQUAMAR</t>
  </si>
  <si>
    <t>BAIA GRANDE</t>
  </si>
  <si>
    <t>BROKERS - DIRECTOS</t>
  </si>
  <si>
    <t>30</t>
  </si>
  <si>
    <t>CARALLIANCE-POA</t>
  </si>
  <si>
    <t>D013023286-E97P</t>
  </si>
  <si>
    <t>28</t>
  </si>
  <si>
    <t>D013016261-KY6B</t>
  </si>
  <si>
    <t>D013031409-VJFV</t>
  </si>
  <si>
    <t>D013123017-GRXG</t>
  </si>
  <si>
    <t>11</t>
  </si>
  <si>
    <t>D013024359-P5QJ</t>
  </si>
  <si>
    <t>CARJET-PREPAID</t>
  </si>
  <si>
    <t>CJT-199070622</t>
  </si>
  <si>
    <t>20</t>
  </si>
  <si>
    <t>CJT-198157512</t>
  </si>
  <si>
    <t>CJT-199378004</t>
  </si>
  <si>
    <t>CJT-192469083</t>
  </si>
  <si>
    <t>CJT-198450828</t>
  </si>
  <si>
    <t>9</t>
  </si>
  <si>
    <t>CJT-199689356</t>
  </si>
  <si>
    <t>CJT-199620727</t>
  </si>
  <si>
    <t>CJT-199888617</t>
  </si>
  <si>
    <t>CJT-200027187</t>
  </si>
  <si>
    <t>DYS-199719230</t>
  </si>
  <si>
    <t>CJT-200046814</t>
  </si>
  <si>
    <t>CJT-199801073</t>
  </si>
  <si>
    <t>CJT-200092465</t>
  </si>
  <si>
    <t>CJT-199917497</t>
  </si>
  <si>
    <t>CJT-200059660</t>
  </si>
  <si>
    <t>CJT-200132074</t>
  </si>
  <si>
    <t>CJT-200194783</t>
  </si>
  <si>
    <t>17</t>
  </si>
  <si>
    <t>CJT-200152172</t>
  </si>
  <si>
    <t>CJT-200250057</t>
  </si>
  <si>
    <t>22</t>
  </si>
  <si>
    <t>CJT-200273406</t>
  </si>
  <si>
    <t>CJT-199979733</t>
  </si>
  <si>
    <t>CJT-199955663</t>
  </si>
  <si>
    <t>CJT-200389596</t>
  </si>
  <si>
    <t>CJT-200356934</t>
  </si>
  <si>
    <t>13</t>
  </si>
  <si>
    <t>CJT-199856176</t>
  </si>
  <si>
    <t>29</t>
  </si>
  <si>
    <t>CJT-200302954</t>
  </si>
  <si>
    <t>CJT-200130452</t>
  </si>
  <si>
    <t>CJT-200402166</t>
  </si>
  <si>
    <t>CJT-200756466</t>
  </si>
  <si>
    <t>CJT-200601217</t>
  </si>
  <si>
    <t>CJT-200402414</t>
  </si>
  <si>
    <t>CJT-200535670</t>
  </si>
  <si>
    <t>CJT-200829482</t>
  </si>
  <si>
    <t>CJT-200747002</t>
  </si>
  <si>
    <t>CJT-200551088</t>
  </si>
  <si>
    <t>CJT-200835145</t>
  </si>
  <si>
    <t>DYS-200418933</t>
  </si>
  <si>
    <t>CJT-200863420</t>
  </si>
  <si>
    <t>CJT-201048504</t>
  </si>
  <si>
    <t>DISCOVERCARS-PREPAID</t>
  </si>
  <si>
    <t>D012892061-JPMY</t>
  </si>
  <si>
    <t>D012919167-SSH3</t>
  </si>
  <si>
    <t>D012995393-5AKT</t>
  </si>
  <si>
    <t>D013048588-7X4M</t>
  </si>
  <si>
    <t>D013057007-2V4F</t>
  </si>
  <si>
    <t>19</t>
  </si>
  <si>
    <t>D012612083-8LHM</t>
  </si>
  <si>
    <t>INDIGO HOTEL</t>
  </si>
  <si>
    <t>NAU SAO RAFAEL SUITES</t>
  </si>
  <si>
    <t>OCEANUS</t>
  </si>
  <si>
    <t>9717</t>
  </si>
  <si>
    <t>PATEO VILLAGE</t>
  </si>
  <si>
    <t>6321</t>
  </si>
  <si>
    <t>PORTO BAY BLUE OCEAN</t>
  </si>
  <si>
    <t>PTO</t>
  </si>
  <si>
    <t>9480</t>
  </si>
  <si>
    <t>8778</t>
  </si>
  <si>
    <t>9481</t>
  </si>
  <si>
    <t>ROCAMAR</t>
  </si>
  <si>
    <t>RUBEN MARTINS, ALGARVE T</t>
  </si>
  <si>
    <t>SOL E MAR</t>
  </si>
  <si>
    <t>VIP CARS-POA</t>
  </si>
  <si>
    <t>5635250553</t>
  </si>
  <si>
    <t>COMISSIONISTAS</t>
  </si>
  <si>
    <t>BROKERS</t>
  </si>
  <si>
    <t>TOTAL</t>
  </si>
  <si>
    <t>COMISSÃO</t>
  </si>
  <si>
    <t>PATIO SUITE HOTEL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</si>
</sst>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816]d/mmm;@"/>
    <numFmt numFmtId="165" formatCode="#,##0.00\ &quot;€&quot;"/>
    <numFmt numFmtId="166" formatCode="#,##0.00\ _€"/>
  </numFmts>
  <fonts count="2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E97132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97132"/>
        <bgColor indexed="64"/>
      </patternFill>
    </fill>
    <fill>
      <patternFill patternType="solid">
        <fgColor rgb="FF15608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19" fillId="0" borderId="0" xfId="0" applyFont="1" applyAlignment="1">
      <alignment horizontal="center" vertical="center" wrapText="1"/>
    </xf>
    <xf numFmtId="164" fontId="19" fillId="0" borderId="0" xfId="0" applyNumberFormat="1" applyFont="1" applyAlignment="1">
      <alignment horizontal="center" vertical="center" wrapText="1"/>
    </xf>
    <xf numFmtId="164" fontId="0" fillId="0" borderId="0" xfId="0" applyNumberFormat="1"/>
    <xf numFmtId="49" fontId="18" fillId="0" borderId="0" xfId="0" applyNumberFormat="1" applyFont="1" applyAlignment="1">
      <alignment horizontal="center" vertical="center" wrapText="1"/>
    </xf>
    <xf numFmtId="164" fontId="1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" fontId="19" fillId="0" borderId="0" xfId="0" applyNumberFormat="1" applyFont="1" applyAlignment="1">
      <alignment horizontal="center" vertical="center" wrapText="1"/>
    </xf>
    <xf numFmtId="2" fontId="18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21" fillId="0" borderId="0" xfId="0" applyFont="1"/>
    <xf numFmtId="165" fontId="21" fillId="0" borderId="0" xfId="0" applyNumberFormat="1" applyFont="1"/>
    <xf numFmtId="165" fontId="0" fillId="0" borderId="0" xfId="0" applyNumberFormat="1"/>
    <xf numFmtId="0" fontId="21" fillId="36" borderId="0" xfId="0" applyFont="1" applyFill="1" applyAlignment="1">
      <alignment horizontal="left" vertical="center"/>
    </xf>
    <xf numFmtId="166" fontId="21" fillId="36" borderId="0" xfId="0" applyNumberFormat="1" applyFont="1" applyFill="1" applyAlignment="1">
      <alignment horizontal="center" vertical="center"/>
    </xf>
    <xf numFmtId="0" fontId="0" fillId="37" borderId="0" xfId="0" applyFill="1"/>
    <xf numFmtId="165" fontId="0" fillId="37" borderId="0" xfId="0" applyNumberFormat="1" applyFill="1"/>
    <xf numFmtId="0" fontId="21" fillId="0" borderId="0" xfId="0" applyFont="1" applyAlignment="1">
      <alignment horizontal="left" vertical="center"/>
    </xf>
    <xf numFmtId="166" fontId="21" fillId="0" borderId="0" xfId="0" applyNumberFormat="1" applyFont="1" applyAlignment="1">
      <alignment horizontal="center" vertical="center"/>
    </xf>
    <xf numFmtId="2" fontId="21" fillId="0" borderId="0" xfId="0" applyNumberFormat="1" applyFont="1"/>
    <xf numFmtId="0" fontId="22" fillId="35" borderId="0" xfId="0" applyFont="1" applyFill="1" applyAlignment="1">
      <alignment vertical="center"/>
    </xf>
    <xf numFmtId="4" fontId="23" fillId="0" borderId="0" xfId="0" applyNumberFormat="1" applyFont="1" applyAlignment="1">
      <alignment horizontal="center" vertical="center"/>
    </xf>
    <xf numFmtId="0" fontId="13" fillId="34" borderId="0" xfId="0" applyFont="1" applyFill="1"/>
    <xf numFmtId="165" fontId="23" fillId="0" borderId="0" xfId="0" applyNumberFormat="1" applyFont="1"/>
    <xf numFmtId="0" fontId="24" fillId="38" borderId="0" xfId="0" applyFont="1" applyFill="1"/>
    <xf numFmtId="0" fontId="0" fillId="39" borderId="0" xfId="0" applyFill="1"/>
    <xf numFmtId="0" fontId="19" fillId="33" borderId="0" xfId="0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7" fillId="0" borderId="0" xfId="0" applyFont="1"/>
    <xf numFmtId="1" fontId="0" fillId="0" borderId="0" xfId="0" applyNumberFormat="1"/>
    <xf numFmtId="1" fontId="16" fillId="0" borderId="0" xfId="0" applyNumberFormat="1" applyFont="1"/>
    <xf numFmtId="0" fontId="13" fillId="34" borderId="0" xfId="0" applyFont="1" applyFill="1" applyAlignment="1">
      <alignment horizontal="center" vertical="center" wrapText="1"/>
    </xf>
    <xf numFmtId="17" fontId="20" fillId="35" borderId="0" xfId="0" applyNumberFormat="1" applyFont="1" applyFill="1" applyAlignment="1">
      <alignment horizontal="center" vertical="center"/>
    </xf>
    <xf numFmtId="0" fontId="20" fillId="35" borderId="0" xfId="0" applyFont="1" applyFill="1" applyAlignment="1">
      <alignment horizontal="center" vertical="center"/>
    </xf>
  </cellXfs>
  <cellStyles count="42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09617717724862"/>
          <c:y val="5.1172707889125799E-2"/>
          <c:w val="0.84145268224008385"/>
          <c:h val="0.89220767716535432"/>
        </c:manualLayout>
      </c:layout>
      <c:barChart>
        <c:barDir val="col"/>
        <c:grouping val="clustered"/>
        <c:varyColors val="0"/>
        <c:ser>
          <c:idx val="0"/>
          <c:order val="0"/>
          <c:tx>
            <c:v>2024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COMISSIONISTAS</c:v>
              </c:pt>
              <c:pt idx="1">
                <c:v>AP</c:v>
              </c:pt>
              <c:pt idx="2">
                <c:v>API-WEB</c:v>
              </c:pt>
              <c:pt idx="3">
                <c:v>BROKERS</c:v>
              </c:pt>
            </c:strLit>
          </c:cat>
          <c:val>
            <c:numRef>
              <c:f>'[1]AP+API-WEB+BROKERS'!$G$4:$G$9</c:f>
              <c:numCache>
                <c:formatCode>General</c:formatCode>
                <c:ptCount val="6"/>
                <c:pt idx="0">
                  <c:v>2730</c:v>
                </c:pt>
                <c:pt idx="1">
                  <c:v>4919.7300000000005</c:v>
                </c:pt>
                <c:pt idx="2">
                  <c:v>3859.0209999999984</c:v>
                </c:pt>
                <c:pt idx="3">
                  <c:v>6103.78</c:v>
                </c:pt>
                <c:pt idx="5">
                  <c:v>17612.530999999999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0-9544-8535-34C479104478}"/>
            </c:ext>
          </c:extLst>
        </c:ser>
        <c:ser>
          <c:idx val="1"/>
          <c:order val="1"/>
          <c:tx>
            <c:v>2023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COMISSIONISTAS</c:v>
              </c:pt>
              <c:pt idx="1">
                <c:v>AP</c:v>
              </c:pt>
              <c:pt idx="2">
                <c:v>API-WEB</c:v>
              </c:pt>
              <c:pt idx="3">
                <c:v>BROKERS</c:v>
              </c:pt>
            </c:strLit>
          </c:cat>
          <c:val>
            <c:numRef>
              <c:f>'[1]AP+API-WEB+BROKERS'!$J$4:$J$9</c:f>
              <c:numCache>
                <c:formatCode>General</c:formatCode>
                <c:ptCount val="6"/>
                <c:pt idx="0">
                  <c:v>965</c:v>
                </c:pt>
                <c:pt idx="1">
                  <c:v>9407.76</c:v>
                </c:pt>
                <c:pt idx="2">
                  <c:v>7014.74</c:v>
                </c:pt>
                <c:pt idx="3">
                  <c:v>5185</c:v>
                </c:pt>
                <c:pt idx="5">
                  <c:v>22572.5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0-9544-8535-34C479104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37151"/>
        <c:axId val="197844703"/>
      </c:barChart>
      <c:catAx>
        <c:axId val="5223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97844703"/>
        <c:crosses val="autoZero"/>
        <c:auto val="1"/>
        <c:lblAlgn val="ctr"/>
        <c:lblOffset val="100"/>
        <c:noMultiLvlLbl val="0"/>
      </c:catAx>
      <c:valAx>
        <c:axId val="19784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5223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190500</xdr:rowOff>
    </xdr:from>
    <xdr:to>
      <xdr:col>10</xdr:col>
      <xdr:colOff>0</xdr:colOff>
      <xdr:row>30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C2F41-07A4-D349-A24B-9704CCCD1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filipepacheco.autoprudente/Library/CloudStorage/GoogleDrive-comercial@auto-prudente.com/O%20meu%20disco/CM/CM-11-2024.xlsx" TargetMode="External"/><Relationship Id="rId1" Type="http://schemas.openxmlformats.org/officeDocument/2006/relationships/externalLinkPath" Target="CM-11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ISSIONISTAS"/>
      <sheetName val="AP+API-WEB+BROKERS"/>
    </sheetNames>
    <sheetDataSet>
      <sheetData sheetId="0"/>
      <sheetData sheetId="1">
        <row r="4">
          <cell r="G4">
            <v>2730</v>
          </cell>
          <cell r="J4">
            <v>965</v>
          </cell>
        </row>
        <row r="5">
          <cell r="G5">
            <v>4919.7300000000005</v>
          </cell>
          <cell r="J5">
            <v>9407.76</v>
          </cell>
        </row>
        <row r="6">
          <cell r="G6">
            <v>3859.0209999999984</v>
          </cell>
          <cell r="J6">
            <v>7014.74</v>
          </cell>
        </row>
        <row r="7">
          <cell r="G7">
            <v>6103.78</v>
          </cell>
          <cell r="J7">
            <v>5185</v>
          </cell>
        </row>
        <row r="8">
          <cell r="G8"/>
          <cell r="J8"/>
        </row>
        <row r="9">
          <cell r="G9">
            <v>17612.530999999999</v>
          </cell>
          <cell r="J9">
            <v>22572.5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DFA0C-FE53-354B-8C0C-95CEB0B59F13}">
  <dimension ref="A1:G115"/>
  <sheetViews>
    <sheetView tabSelected="1" workbookViewId="0">
      <selection activeCell="I27" sqref="I27"/>
    </sheetView>
  </sheetViews>
  <sheetFormatPr baseColWidth="10" defaultColWidth="8.83203125" defaultRowHeight="16" x14ac:dyDescent="0.2"/>
  <cols>
    <col min="1" max="1" width="14.5" style="8" customWidth="1"/>
    <col min="2" max="2" width="15.33203125" style="9" customWidth="1"/>
    <col min="3" max="3" width="4.1640625" style="8" customWidth="1"/>
    <col min="4" max="4" width="17.5" style="14" customWidth="1"/>
    <col min="5" max="5" width="8.83203125" style="34"/>
    <col min="7" max="7" width="15.6640625" customWidth="1"/>
  </cols>
  <sheetData>
    <row r="1" spans="1:7" x14ac:dyDescent="0.2">
      <c r="A1" s="1" t="s">
        <v>0</v>
      </c>
      <c r="B1" s="2" t="s">
        <v>1</v>
      </c>
      <c r="C1" s="1" t="s">
        <v>2</v>
      </c>
      <c r="D1" s="11" t="s">
        <v>3</v>
      </c>
      <c r="G1" s="10"/>
    </row>
    <row r="2" spans="1:7" ht="19" customHeight="1" x14ac:dyDescent="0.2">
      <c r="A2" s="36" t="s">
        <v>46</v>
      </c>
      <c r="B2" s="36"/>
      <c r="C2" s="36"/>
      <c r="D2" s="36"/>
      <c r="E2" s="36"/>
      <c r="G2" s="31" t="s">
        <v>131</v>
      </c>
    </row>
    <row r="3" spans="1:7" x14ac:dyDescent="0.2">
      <c r="A3" s="6"/>
      <c r="B3" s="5">
        <v>46063.416666666664</v>
      </c>
      <c r="C3" s="4" t="s">
        <v>8</v>
      </c>
      <c r="D3" s="12">
        <v>45</v>
      </c>
      <c r="E3" s="34">
        <f>(D3/1.23)*G3</f>
        <v>5.48780487804878</v>
      </c>
      <c r="G3" s="32">
        <v>0.15</v>
      </c>
    </row>
    <row r="4" spans="1:7" x14ac:dyDescent="0.2">
      <c r="A4" s="6"/>
      <c r="B4" s="7"/>
      <c r="C4" s="6"/>
      <c r="D4" s="13"/>
      <c r="E4" s="35">
        <f>SUM(E3)</f>
        <v>5.48780487804878</v>
      </c>
    </row>
    <row r="5" spans="1:7" ht="19" customHeight="1" x14ac:dyDescent="0.2">
      <c r="A5" s="36" t="s">
        <v>47</v>
      </c>
      <c r="B5" s="36"/>
      <c r="C5" s="36"/>
      <c r="D5" s="36"/>
      <c r="E5" s="36"/>
      <c r="G5" s="33"/>
    </row>
    <row r="6" spans="1:7" x14ac:dyDescent="0.2">
      <c r="A6" s="6"/>
      <c r="B6" s="5">
        <v>46059.5</v>
      </c>
      <c r="C6" s="4" t="s">
        <v>14</v>
      </c>
      <c r="D6" s="12">
        <v>600</v>
      </c>
      <c r="E6" s="34">
        <f>(D6/1.23)*G3</f>
        <v>73.170731707317074</v>
      </c>
    </row>
    <row r="7" spans="1:7" x14ac:dyDescent="0.2">
      <c r="A7" s="6"/>
      <c r="B7" s="5">
        <v>46064.5</v>
      </c>
      <c r="C7" s="4" t="s">
        <v>45</v>
      </c>
      <c r="D7" s="12">
        <v>280</v>
      </c>
      <c r="E7" s="34">
        <f>(D7/1.23)*G3</f>
        <v>34.146341463414636</v>
      </c>
    </row>
    <row r="8" spans="1:7" x14ac:dyDescent="0.2">
      <c r="A8" s="6"/>
      <c r="B8" s="7"/>
      <c r="C8" s="6"/>
      <c r="D8" s="13"/>
      <c r="E8" s="35">
        <f>SUM(E6:E7)</f>
        <v>107.3170731707317</v>
      </c>
      <c r="G8" s="33"/>
    </row>
    <row r="9" spans="1:7" ht="19" customHeight="1" x14ac:dyDescent="0.2">
      <c r="A9" s="36" t="s">
        <v>112</v>
      </c>
      <c r="B9" s="36"/>
      <c r="C9" s="36"/>
      <c r="D9" s="36"/>
      <c r="E9" s="36"/>
    </row>
    <row r="10" spans="1:7" x14ac:dyDescent="0.2">
      <c r="A10" s="6"/>
      <c r="B10" s="5">
        <v>46065.416666666664</v>
      </c>
      <c r="C10" s="4" t="s">
        <v>10</v>
      </c>
      <c r="D10" s="12">
        <v>50</v>
      </c>
      <c r="E10" s="34">
        <f>(D10/1.23)*G3</f>
        <v>6.0975609756097553</v>
      </c>
    </row>
    <row r="11" spans="1:7" x14ac:dyDescent="0.2">
      <c r="A11" s="6"/>
      <c r="B11" s="7"/>
      <c r="C11" s="6"/>
      <c r="D11" s="13"/>
      <c r="E11" s="35">
        <f>SUM(E10)</f>
        <v>6.0975609756097553</v>
      </c>
      <c r="G11" s="33"/>
    </row>
    <row r="12" spans="1:7" ht="19" customHeight="1" x14ac:dyDescent="0.2">
      <c r="A12" s="36" t="s">
        <v>113</v>
      </c>
      <c r="B12" s="36"/>
      <c r="C12" s="36"/>
      <c r="D12" s="36"/>
      <c r="E12" s="36"/>
    </row>
    <row r="13" spans="1:7" x14ac:dyDescent="0.2">
      <c r="A13" s="6"/>
      <c r="B13" s="5">
        <v>46072.4375</v>
      </c>
      <c r="C13" s="4" t="s">
        <v>10</v>
      </c>
      <c r="D13" s="12">
        <v>50</v>
      </c>
      <c r="E13" s="34">
        <f>(D13/1.23)*G3</f>
        <v>6.0975609756097553</v>
      </c>
    </row>
    <row r="14" spans="1:7" x14ac:dyDescent="0.2">
      <c r="A14" s="6"/>
      <c r="B14" s="7"/>
      <c r="C14" s="6"/>
      <c r="D14" s="13"/>
      <c r="E14" s="35">
        <f>SUM(E13)</f>
        <v>6.0975609756097553</v>
      </c>
      <c r="G14" s="33"/>
    </row>
    <row r="15" spans="1:7" ht="19" customHeight="1" x14ac:dyDescent="0.2">
      <c r="A15" s="36" t="s">
        <v>114</v>
      </c>
      <c r="B15" s="36"/>
      <c r="C15" s="36"/>
      <c r="D15" s="36"/>
      <c r="E15" s="36"/>
    </row>
    <row r="16" spans="1:7" x14ac:dyDescent="0.2">
      <c r="A16" s="4" t="s">
        <v>115</v>
      </c>
      <c r="B16" s="5">
        <v>46076.708333333336</v>
      </c>
      <c r="C16" s="4" t="s">
        <v>10</v>
      </c>
      <c r="D16" s="12">
        <v>85</v>
      </c>
      <c r="E16" s="34">
        <f>(D16/1.23)*G3</f>
        <v>10.365853658536585</v>
      </c>
    </row>
    <row r="17" spans="1:7" x14ac:dyDescent="0.2">
      <c r="A17" s="6"/>
      <c r="B17" s="7"/>
      <c r="C17" s="6"/>
      <c r="D17" s="13"/>
      <c r="E17" s="35">
        <f>SUM(E16)</f>
        <v>10.365853658536585</v>
      </c>
      <c r="G17" s="33"/>
    </row>
    <row r="18" spans="1:7" ht="19" customHeight="1" x14ac:dyDescent="0.2">
      <c r="A18" s="36" t="s">
        <v>116</v>
      </c>
      <c r="B18" s="36"/>
      <c r="C18" s="36"/>
      <c r="D18" s="36"/>
      <c r="E18" s="36"/>
    </row>
    <row r="19" spans="1:7" x14ac:dyDescent="0.2">
      <c r="A19" s="4" t="s">
        <v>117</v>
      </c>
      <c r="B19" s="5">
        <v>46067.416666666664</v>
      </c>
      <c r="C19" s="4" t="s">
        <v>8</v>
      </c>
      <c r="D19" s="12">
        <v>45</v>
      </c>
      <c r="E19" s="34">
        <f>(D19/1.23)*G3</f>
        <v>5.48780487804878</v>
      </c>
    </row>
    <row r="20" spans="1:7" x14ac:dyDescent="0.2">
      <c r="A20" s="6"/>
      <c r="B20" s="7"/>
      <c r="C20" s="6"/>
      <c r="D20" s="13"/>
      <c r="E20" s="35">
        <f>SUM(E19)</f>
        <v>5.48780487804878</v>
      </c>
      <c r="G20" s="33"/>
    </row>
    <row r="21" spans="1:7" ht="19" customHeight="1" x14ac:dyDescent="0.2">
      <c r="A21" s="36" t="s">
        <v>118</v>
      </c>
      <c r="B21" s="36"/>
      <c r="C21" s="36"/>
      <c r="D21" s="36"/>
      <c r="E21" s="36"/>
    </row>
    <row r="22" spans="1:7" x14ac:dyDescent="0.2">
      <c r="A22" s="6"/>
      <c r="B22" s="5">
        <v>46076.625</v>
      </c>
      <c r="C22" s="4" t="s">
        <v>13</v>
      </c>
      <c r="D22" s="12">
        <v>70</v>
      </c>
      <c r="E22" s="34">
        <f>(D22/1.23)*G3</f>
        <v>8.536585365853659</v>
      </c>
    </row>
    <row r="23" spans="1:7" x14ac:dyDescent="0.2">
      <c r="A23" s="6"/>
      <c r="B23" s="7"/>
      <c r="C23" s="6"/>
      <c r="D23" s="13"/>
      <c r="E23" s="35">
        <f>SUM(E22)</f>
        <v>8.536585365853659</v>
      </c>
    </row>
    <row r="24" spans="1:7" ht="19" customHeight="1" x14ac:dyDescent="0.2">
      <c r="A24" s="36" t="s">
        <v>119</v>
      </c>
      <c r="B24" s="36"/>
      <c r="C24" s="36"/>
      <c r="D24" s="36"/>
      <c r="E24" s="36"/>
      <c r="G24" s="33"/>
    </row>
    <row r="25" spans="1:7" x14ac:dyDescent="0.2">
      <c r="A25" s="4" t="s">
        <v>120</v>
      </c>
      <c r="B25" s="5">
        <v>46056.395833333336</v>
      </c>
      <c r="C25" s="4" t="s">
        <v>13</v>
      </c>
      <c r="D25" s="12">
        <v>65</v>
      </c>
      <c r="E25" s="34">
        <f>(D25/1.23)*G3</f>
        <v>7.926829268292682</v>
      </c>
    </row>
    <row r="26" spans="1:7" x14ac:dyDescent="0.2">
      <c r="A26" s="4" t="s">
        <v>121</v>
      </c>
      <c r="B26" s="5">
        <v>46071.416666666664</v>
      </c>
      <c r="C26" s="4" t="s">
        <v>8</v>
      </c>
      <c r="D26" s="12">
        <v>160</v>
      </c>
      <c r="E26" s="34">
        <f>(D26/1.23)*G3</f>
        <v>19.512195121951219</v>
      </c>
    </row>
    <row r="27" spans="1:7" x14ac:dyDescent="0.2">
      <c r="A27" s="4" t="s">
        <v>122</v>
      </c>
      <c r="B27" s="5">
        <v>46076.395833333336</v>
      </c>
      <c r="C27" s="4" t="s">
        <v>8</v>
      </c>
      <c r="D27" s="12">
        <v>40</v>
      </c>
      <c r="E27" s="34">
        <f>(D27/1.23)*G3</f>
        <v>4.8780487804878048</v>
      </c>
      <c r="G27" s="33"/>
    </row>
    <row r="28" spans="1:7" x14ac:dyDescent="0.2">
      <c r="A28" s="6"/>
      <c r="B28" s="7"/>
      <c r="C28" s="6"/>
      <c r="D28" s="13"/>
      <c r="E28" s="35">
        <f>SUM(E25:E27)</f>
        <v>32.317073170731703</v>
      </c>
    </row>
    <row r="29" spans="1:7" x14ac:dyDescent="0.2">
      <c r="A29" s="36" t="s">
        <v>132</v>
      </c>
      <c r="B29" s="36"/>
      <c r="C29" s="36"/>
      <c r="D29" s="36"/>
      <c r="E29" s="36"/>
    </row>
    <row r="30" spans="1:7" x14ac:dyDescent="0.2">
      <c r="A30" s="6"/>
      <c r="B30" s="5">
        <v>46076</v>
      </c>
      <c r="C30" s="4" t="s">
        <v>6</v>
      </c>
      <c r="D30" s="12">
        <v>140</v>
      </c>
      <c r="E30" s="34">
        <f>(D30/1.23)*G3</f>
        <v>17.073170731707318</v>
      </c>
    </row>
    <row r="31" spans="1:7" x14ac:dyDescent="0.2">
      <c r="A31" s="6"/>
      <c r="B31" s="7"/>
      <c r="C31" s="6"/>
      <c r="D31" s="13"/>
      <c r="E31" s="35">
        <f>SUM(E30)</f>
        <v>17.073170731707318</v>
      </c>
    </row>
    <row r="32" spans="1:7" ht="19" customHeight="1" x14ac:dyDescent="0.2">
      <c r="A32" s="36" t="s">
        <v>123</v>
      </c>
      <c r="B32" s="36"/>
      <c r="C32" s="36"/>
      <c r="D32" s="36"/>
      <c r="E32" s="36"/>
    </row>
    <row r="33" spans="1:7" x14ac:dyDescent="0.2">
      <c r="A33" s="6"/>
      <c r="B33" s="5">
        <v>46069.458333333336</v>
      </c>
      <c r="C33" s="4" t="s">
        <v>6</v>
      </c>
      <c r="D33" s="12">
        <v>100</v>
      </c>
      <c r="E33" s="34">
        <f>(D33/1.23)*G3</f>
        <v>12.195121951219511</v>
      </c>
    </row>
    <row r="34" spans="1:7" x14ac:dyDescent="0.2">
      <c r="A34" s="6"/>
      <c r="B34" s="7"/>
      <c r="C34" s="6"/>
      <c r="D34" s="13"/>
      <c r="E34" s="35">
        <f>SUM(E33)</f>
        <v>12.195121951219511</v>
      </c>
      <c r="G34" s="33"/>
    </row>
    <row r="35" spans="1:7" ht="19" customHeight="1" x14ac:dyDescent="0.2">
      <c r="A35" s="36" t="s">
        <v>124</v>
      </c>
      <c r="B35" s="36"/>
      <c r="C35" s="36"/>
      <c r="D35" s="36"/>
      <c r="E35" s="36"/>
    </row>
    <row r="36" spans="1:7" x14ac:dyDescent="0.2">
      <c r="A36" s="6"/>
      <c r="B36" s="5">
        <v>46073.479166666664</v>
      </c>
      <c r="C36" s="4" t="s">
        <v>22</v>
      </c>
      <c r="D36" s="12">
        <v>130</v>
      </c>
      <c r="E36" s="34">
        <f>(D36/1.23)*G3</f>
        <v>15.853658536585364</v>
      </c>
    </row>
    <row r="37" spans="1:7" x14ac:dyDescent="0.2">
      <c r="A37" s="6"/>
      <c r="B37" s="7"/>
      <c r="C37" s="6"/>
      <c r="D37" s="13"/>
      <c r="E37" s="35">
        <f>SUM(E36)</f>
        <v>15.853658536585364</v>
      </c>
    </row>
    <row r="38" spans="1:7" ht="19" customHeight="1" x14ac:dyDescent="0.2">
      <c r="A38" s="36" t="s">
        <v>125</v>
      </c>
      <c r="B38" s="36"/>
      <c r="C38" s="36"/>
      <c r="D38" s="36"/>
      <c r="E38" s="36"/>
    </row>
    <row r="39" spans="1:7" x14ac:dyDescent="0.2">
      <c r="A39" s="6"/>
      <c r="B39" s="5">
        <v>46055.416666666664</v>
      </c>
      <c r="C39" s="4" t="s">
        <v>10</v>
      </c>
      <c r="D39" s="12">
        <v>50</v>
      </c>
      <c r="E39" s="34">
        <f>(D39/1.23)*G3</f>
        <v>6.0975609756097553</v>
      </c>
    </row>
    <row r="40" spans="1:7" x14ac:dyDescent="0.2">
      <c r="A40" s="6"/>
      <c r="B40" s="5">
        <v>46077.416666666664</v>
      </c>
      <c r="C40" s="4" t="s">
        <v>10</v>
      </c>
      <c r="D40" s="12">
        <v>50</v>
      </c>
      <c r="E40" s="34">
        <f>(D40/1.23)*G3</f>
        <v>6.0975609756097553</v>
      </c>
    </row>
    <row r="41" spans="1:7" x14ac:dyDescent="0.2">
      <c r="A41" s="6"/>
      <c r="B41" s="7"/>
      <c r="C41" s="6"/>
      <c r="D41" s="13"/>
      <c r="E41" s="35">
        <f>SUM(E39:E40)</f>
        <v>12.195121951219511</v>
      </c>
    </row>
    <row r="42" spans="1:7" x14ac:dyDescent="0.2">
      <c r="G42" s="33"/>
    </row>
    <row r="50" spans="7:7" x14ac:dyDescent="0.2">
      <c r="G50" s="33"/>
    </row>
    <row r="53" spans="7:7" x14ac:dyDescent="0.2">
      <c r="G53" s="33"/>
    </row>
    <row r="58" spans="7:7" x14ac:dyDescent="0.2">
      <c r="G58" s="33"/>
    </row>
    <row r="61" spans="7:7" x14ac:dyDescent="0.2">
      <c r="G61" s="33"/>
    </row>
    <row r="66" spans="7:7" x14ac:dyDescent="0.2">
      <c r="G66" s="33"/>
    </row>
    <row r="72" spans="7:7" x14ac:dyDescent="0.2">
      <c r="G72" s="33"/>
    </row>
    <row r="82" spans="7:7" x14ac:dyDescent="0.2">
      <c r="G82" s="33"/>
    </row>
    <row r="89" spans="7:7" x14ac:dyDescent="0.2">
      <c r="G89" s="33"/>
    </row>
    <row r="93" spans="7:7" x14ac:dyDescent="0.2">
      <c r="G93" s="33"/>
    </row>
    <row r="96" spans="7:7" x14ac:dyDescent="0.2">
      <c r="G96" s="33"/>
    </row>
    <row r="105" spans="7:7" x14ac:dyDescent="0.2">
      <c r="G105" s="33"/>
    </row>
    <row r="108" spans="7:7" x14ac:dyDescent="0.2">
      <c r="G108" s="33"/>
    </row>
    <row r="111" spans="7:7" x14ac:dyDescent="0.2">
      <c r="G111" s="33"/>
    </row>
    <row r="115" spans="7:7" x14ac:dyDescent="0.2">
      <c r="G115" s="33"/>
    </row>
  </sheetData>
  <mergeCells count="12">
    <mergeCell ref="A2:E2"/>
    <mergeCell ref="A5:E5"/>
    <mergeCell ref="A9:E9"/>
    <mergeCell ref="A12:E12"/>
    <mergeCell ref="A15:E15"/>
    <mergeCell ref="A38:E38"/>
    <mergeCell ref="A29:E29"/>
    <mergeCell ref="A18:E18"/>
    <mergeCell ref="A21:E21"/>
    <mergeCell ref="A24:E24"/>
    <mergeCell ref="A32:E32"/>
    <mergeCell ref="A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D1C9D-81FE-594F-A3BC-F0E544083872}">
  <dimension ref="A1:J143"/>
  <sheetViews>
    <sheetView workbookViewId="0">
      <selection activeCell="G5" sqref="G5"/>
    </sheetView>
  </sheetViews>
  <sheetFormatPr baseColWidth="10" defaultColWidth="8.83203125" defaultRowHeight="16" x14ac:dyDescent="0.2"/>
  <cols>
    <col min="1" max="1" width="14.5" style="8" customWidth="1"/>
    <col min="2" max="2" width="15.33203125" style="9" customWidth="1"/>
    <col min="3" max="3" width="4.1640625" style="8" customWidth="1"/>
    <col min="4" max="4" width="17.5" style="14" customWidth="1"/>
    <col min="6" max="6" width="14" customWidth="1"/>
    <col min="7" max="7" width="21.6640625" customWidth="1"/>
    <col min="9" max="9" width="14" customWidth="1"/>
    <col min="10" max="10" width="21.6640625" customWidth="1"/>
  </cols>
  <sheetData>
    <row r="1" spans="1:10" x14ac:dyDescent="0.2">
      <c r="A1" s="1" t="s">
        <v>0</v>
      </c>
      <c r="B1" s="2" t="s">
        <v>1</v>
      </c>
      <c r="C1" s="1" t="s">
        <v>2</v>
      </c>
      <c r="D1" s="11" t="s">
        <v>3</v>
      </c>
    </row>
    <row r="2" spans="1:10" ht="19" customHeight="1" x14ac:dyDescent="0.2">
      <c r="A2" s="36" t="s">
        <v>4</v>
      </c>
      <c r="B2" s="36"/>
      <c r="C2" s="36"/>
      <c r="D2" s="36"/>
      <c r="F2" s="37">
        <v>46054</v>
      </c>
      <c r="G2" s="38"/>
      <c r="I2" s="37">
        <v>45689</v>
      </c>
      <c r="J2" s="38"/>
    </row>
    <row r="3" spans="1:10" x14ac:dyDescent="0.2">
      <c r="A3" s="4" t="s">
        <v>5</v>
      </c>
      <c r="B3" s="5">
        <v>46054.569444444445</v>
      </c>
      <c r="C3" s="4" t="s">
        <v>6</v>
      </c>
      <c r="D3" s="12">
        <v>99.92</v>
      </c>
      <c r="F3" s="15"/>
      <c r="G3" s="16"/>
      <c r="J3" s="17"/>
    </row>
    <row r="4" spans="1:10" x14ac:dyDescent="0.2">
      <c r="A4" s="4" t="s">
        <v>7</v>
      </c>
      <c r="B4" s="5">
        <v>46078.395833333336</v>
      </c>
      <c r="C4" s="4" t="s">
        <v>8</v>
      </c>
      <c r="D4" s="12">
        <v>45.71</v>
      </c>
      <c r="F4" s="18" t="s">
        <v>128</v>
      </c>
      <c r="G4" s="19">
        <f>SUM(COMISSIONISTAS!D3,COMISSIONISTAS!D6:D7,COMISSIONISTAS!D10,COMISSIONISTAS!D13,COMISSIONISTAS!D16,COMISSIONISTAS!D19,COMISSIONISTAS!D22,COMISSIONISTAS!D25:D27,COMISSIONISTAS!D30,COMISSIONISTAS!D33,COMISSIONISTAS!D36,COMISSIONISTAS!D39:D40)</f>
        <v>1960</v>
      </c>
      <c r="I4" s="20" t="s">
        <v>128</v>
      </c>
      <c r="J4" s="21">
        <v>2200</v>
      </c>
    </row>
    <row r="5" spans="1:10" x14ac:dyDescent="0.2">
      <c r="A5" s="6"/>
      <c r="B5" s="7"/>
      <c r="C5" s="6"/>
      <c r="D5" s="13"/>
      <c r="F5" s="22" t="s">
        <v>9</v>
      </c>
      <c r="G5" s="23">
        <f>SUM(D7:D53)</f>
        <v>4514.17</v>
      </c>
      <c r="I5" t="s">
        <v>9</v>
      </c>
      <c r="J5" s="17">
        <v>4537.54</v>
      </c>
    </row>
    <row r="6" spans="1:10" ht="19" customHeight="1" x14ac:dyDescent="0.2">
      <c r="A6" s="36" t="s">
        <v>9</v>
      </c>
      <c r="B6" s="36"/>
      <c r="C6" s="36"/>
      <c r="D6" s="36"/>
      <c r="F6" s="18" t="s">
        <v>24</v>
      </c>
      <c r="G6" s="19">
        <f>SUM(D56:D78,D81:D83)</f>
        <v>2708.41</v>
      </c>
      <c r="I6" s="20" t="s">
        <v>24</v>
      </c>
      <c r="J6" s="21">
        <v>1741.22</v>
      </c>
    </row>
    <row r="7" spans="1:10" x14ac:dyDescent="0.2">
      <c r="A7" s="6"/>
      <c r="B7" s="5">
        <v>46055.375</v>
      </c>
      <c r="C7" s="4" t="s">
        <v>10</v>
      </c>
      <c r="D7" s="12" t="s">
        <v>11</v>
      </c>
      <c r="F7" s="22" t="s">
        <v>129</v>
      </c>
      <c r="G7" s="23">
        <f>SUM(D3:D4,D86:D90,D93:D131,D134:D139,D142)</f>
        <v>4579.9400000000005</v>
      </c>
      <c r="I7" t="s">
        <v>129</v>
      </c>
      <c r="J7" s="17">
        <v>6725.36</v>
      </c>
    </row>
    <row r="8" spans="1:10" x14ac:dyDescent="0.2">
      <c r="A8" s="6"/>
      <c r="B8" s="5">
        <v>46055.46875</v>
      </c>
      <c r="C8" s="4" t="s">
        <v>10</v>
      </c>
      <c r="D8" s="12">
        <v>50</v>
      </c>
      <c r="F8" s="15"/>
      <c r="G8" s="24"/>
      <c r="J8" s="17"/>
    </row>
    <row r="9" spans="1:10" x14ac:dyDescent="0.2">
      <c r="A9" s="6"/>
      <c r="B9" s="5">
        <v>46055.486111111109</v>
      </c>
      <c r="C9" s="4" t="s">
        <v>12</v>
      </c>
      <c r="D9" s="12">
        <v>214.2</v>
      </c>
      <c r="F9" s="25" t="s">
        <v>130</v>
      </c>
      <c r="G9" s="26">
        <f>SUM(G4:G7)</f>
        <v>13762.52</v>
      </c>
      <c r="I9" s="27" t="s">
        <v>130</v>
      </c>
      <c r="J9" s="28">
        <f>SUM(J4:J8)</f>
        <v>15204.119999999999</v>
      </c>
    </row>
    <row r="10" spans="1:10" x14ac:dyDescent="0.2">
      <c r="A10" s="6"/>
      <c r="B10" s="5">
        <v>46055.625</v>
      </c>
      <c r="C10" s="4" t="s">
        <v>13</v>
      </c>
      <c r="D10" s="12">
        <v>50</v>
      </c>
    </row>
    <row r="11" spans="1:10" x14ac:dyDescent="0.2">
      <c r="A11" s="6"/>
      <c r="B11" s="5">
        <v>46056.5</v>
      </c>
      <c r="C11" s="4" t="s">
        <v>10</v>
      </c>
      <c r="D11" s="12">
        <v>50</v>
      </c>
    </row>
    <row r="12" spans="1:10" x14ac:dyDescent="0.2">
      <c r="A12" s="6"/>
      <c r="B12" s="5">
        <v>46056.627083333333</v>
      </c>
      <c r="C12" s="4" t="s">
        <v>14</v>
      </c>
      <c r="D12" s="12">
        <v>64.819999999999993</v>
      </c>
    </row>
    <row r="13" spans="1:10" x14ac:dyDescent="0.2">
      <c r="A13" s="6"/>
      <c r="B13" s="5">
        <v>46056.652777777781</v>
      </c>
      <c r="C13" s="4" t="s">
        <v>15</v>
      </c>
      <c r="D13" s="12">
        <v>50</v>
      </c>
    </row>
    <row r="14" spans="1:10" x14ac:dyDescent="0.2">
      <c r="A14" s="6"/>
      <c r="B14" s="5">
        <v>46057.510416666664</v>
      </c>
      <c r="C14" s="4" t="s">
        <v>13</v>
      </c>
      <c r="D14" s="12">
        <v>1</v>
      </c>
    </row>
    <row r="15" spans="1:10" x14ac:dyDescent="0.2">
      <c r="A15" s="6"/>
      <c r="B15" s="5">
        <v>46057.645833333336</v>
      </c>
      <c r="C15" s="4" t="s">
        <v>10</v>
      </c>
      <c r="D15" s="12">
        <v>50</v>
      </c>
    </row>
    <row r="16" spans="1:10" x14ac:dyDescent="0.2">
      <c r="A16" s="6"/>
      <c r="B16" s="5">
        <v>46058.690972222219</v>
      </c>
      <c r="C16" s="4" t="s">
        <v>17</v>
      </c>
      <c r="D16" s="12">
        <v>276.54000000000002</v>
      </c>
    </row>
    <row r="17" spans="1:10" x14ac:dyDescent="0.2">
      <c r="A17" s="6"/>
      <c r="B17" s="5">
        <v>46058.708333333336</v>
      </c>
      <c r="C17" s="4" t="s">
        <v>18</v>
      </c>
      <c r="D17" s="12">
        <v>36.76</v>
      </c>
    </row>
    <row r="18" spans="1:10" x14ac:dyDescent="0.2">
      <c r="A18" s="6"/>
      <c r="B18" s="5">
        <v>46061.635416666664</v>
      </c>
      <c r="C18" s="4" t="s">
        <v>6</v>
      </c>
      <c r="D18" s="12">
        <v>200</v>
      </c>
    </row>
    <row r="19" spans="1:10" x14ac:dyDescent="0.2">
      <c r="A19" s="4" t="s">
        <v>19</v>
      </c>
      <c r="B19" s="5">
        <v>46063.375</v>
      </c>
      <c r="C19" s="4" t="s">
        <v>10</v>
      </c>
      <c r="D19" s="12">
        <v>110</v>
      </c>
    </row>
    <row r="20" spans="1:10" x14ac:dyDescent="0.2">
      <c r="A20" s="6"/>
      <c r="B20" s="5">
        <v>46065.463194444441</v>
      </c>
      <c r="C20" s="4" t="s">
        <v>20</v>
      </c>
      <c r="D20" s="12">
        <v>252.36</v>
      </c>
    </row>
    <row r="21" spans="1:10" x14ac:dyDescent="0.2">
      <c r="A21" s="6"/>
      <c r="B21" s="5">
        <v>46065.479166666664</v>
      </c>
      <c r="C21" s="4" t="s">
        <v>16</v>
      </c>
      <c r="D21" s="12">
        <v>1</v>
      </c>
    </row>
    <row r="22" spans="1:10" x14ac:dyDescent="0.2">
      <c r="A22" s="6"/>
      <c r="B22" s="5">
        <v>46066.513888888891</v>
      </c>
      <c r="C22" s="4" t="s">
        <v>16</v>
      </c>
      <c r="D22" s="12">
        <v>311.7</v>
      </c>
    </row>
    <row r="23" spans="1:10" x14ac:dyDescent="0.2">
      <c r="A23" s="6"/>
      <c r="B23" s="5">
        <v>46066.53125</v>
      </c>
      <c r="C23" s="4" t="s">
        <v>21</v>
      </c>
      <c r="D23" s="12">
        <v>80</v>
      </c>
    </row>
    <row r="24" spans="1:10" x14ac:dyDescent="0.2">
      <c r="A24" s="6"/>
      <c r="B24" s="5">
        <v>46066.635416666664</v>
      </c>
      <c r="C24" s="4" t="s">
        <v>21</v>
      </c>
      <c r="D24" s="12">
        <v>200</v>
      </c>
    </row>
    <row r="25" spans="1:10" x14ac:dyDescent="0.2">
      <c r="A25" s="6"/>
      <c r="B25" s="5">
        <v>46066.65625</v>
      </c>
      <c r="C25" s="4" t="s">
        <v>15</v>
      </c>
      <c r="D25" s="12">
        <v>132</v>
      </c>
    </row>
    <row r="26" spans="1:10" x14ac:dyDescent="0.2">
      <c r="A26" s="6"/>
      <c r="B26" s="5">
        <v>46066.75</v>
      </c>
      <c r="C26" s="4" t="s">
        <v>8</v>
      </c>
      <c r="D26" s="12">
        <v>1</v>
      </c>
    </row>
    <row r="27" spans="1:10" x14ac:dyDescent="0.2">
      <c r="A27" s="6"/>
      <c r="B27" s="5">
        <v>46067.375</v>
      </c>
      <c r="C27" s="4" t="s">
        <v>16</v>
      </c>
      <c r="D27" s="12">
        <v>130</v>
      </c>
    </row>
    <row r="28" spans="1:10" x14ac:dyDescent="0.2">
      <c r="A28" s="6"/>
      <c r="B28" s="5">
        <v>46067.458333333336</v>
      </c>
      <c r="C28" s="4" t="s">
        <v>6</v>
      </c>
      <c r="D28" s="12">
        <v>175</v>
      </c>
    </row>
    <row r="29" spans="1:10" x14ac:dyDescent="0.2">
      <c r="A29" s="6"/>
      <c r="B29" s="5">
        <v>46067.458333333336</v>
      </c>
      <c r="C29" s="4" t="s">
        <v>10</v>
      </c>
      <c r="D29" s="12">
        <v>50</v>
      </c>
    </row>
    <row r="30" spans="1:10" x14ac:dyDescent="0.2">
      <c r="A30" s="6"/>
      <c r="B30" s="5">
        <v>46067.461805555555</v>
      </c>
      <c r="C30" s="4" t="s">
        <v>22</v>
      </c>
      <c r="D30" s="12">
        <v>80.58</v>
      </c>
    </row>
    <row r="31" spans="1:10" x14ac:dyDescent="0.2">
      <c r="A31" s="6"/>
      <c r="B31" s="5">
        <v>46067.5</v>
      </c>
      <c r="C31" s="4" t="s">
        <v>6</v>
      </c>
      <c r="D31" s="12">
        <v>140</v>
      </c>
    </row>
    <row r="32" spans="1:10" x14ac:dyDescent="0.2">
      <c r="A32" s="6"/>
      <c r="B32" s="5">
        <v>46068.4375</v>
      </c>
      <c r="C32" s="4" t="s">
        <v>16</v>
      </c>
      <c r="D32" s="12">
        <v>140</v>
      </c>
      <c r="F32" s="29"/>
      <c r="G32">
        <v>2025</v>
      </c>
      <c r="I32" s="30"/>
      <c r="J32">
        <v>2026</v>
      </c>
    </row>
    <row r="33" spans="1:7" x14ac:dyDescent="0.2">
      <c r="A33" s="6"/>
      <c r="B33" s="5">
        <v>46069.375</v>
      </c>
      <c r="C33" s="4" t="s">
        <v>21</v>
      </c>
      <c r="D33" s="12">
        <v>110</v>
      </c>
    </row>
    <row r="34" spans="1:7" x14ac:dyDescent="0.2">
      <c r="A34" s="6"/>
      <c r="B34" s="5">
        <v>46069.604166666664</v>
      </c>
      <c r="C34" s="4" t="s">
        <v>10</v>
      </c>
      <c r="D34" s="12">
        <v>70</v>
      </c>
    </row>
    <row r="35" spans="1:7" x14ac:dyDescent="0.2">
      <c r="A35" s="6"/>
      <c r="B35" s="5">
        <v>46070.416666666664</v>
      </c>
      <c r="C35" s="4" t="s">
        <v>10</v>
      </c>
      <c r="D35" s="12">
        <v>50</v>
      </c>
    </row>
    <row r="36" spans="1:7" x14ac:dyDescent="0.2">
      <c r="A36" s="6"/>
      <c r="B36" s="5">
        <v>46071.381944444445</v>
      </c>
      <c r="C36" s="4" t="s">
        <v>16</v>
      </c>
      <c r="D36" s="12">
        <v>40</v>
      </c>
    </row>
    <row r="37" spans="1:7" x14ac:dyDescent="0.2">
      <c r="A37" s="6"/>
      <c r="B37" s="5">
        <v>46071.395833333336</v>
      </c>
      <c r="C37" s="4" t="s">
        <v>8</v>
      </c>
      <c r="D37" s="12">
        <v>90</v>
      </c>
    </row>
    <row r="38" spans="1:7" x14ac:dyDescent="0.2">
      <c r="A38" s="6"/>
      <c r="B38" s="5">
        <v>46072.458333333336</v>
      </c>
      <c r="C38" s="4" t="s">
        <v>10</v>
      </c>
      <c r="D38" s="12">
        <v>50</v>
      </c>
    </row>
    <row r="39" spans="1:7" x14ac:dyDescent="0.2">
      <c r="A39" s="6"/>
      <c r="B39" s="5">
        <v>46073.395833333336</v>
      </c>
      <c r="C39" s="4" t="s">
        <v>10</v>
      </c>
      <c r="D39" s="12">
        <v>50</v>
      </c>
      <c r="G39" s="3"/>
    </row>
    <row r="40" spans="1:7" x14ac:dyDescent="0.2">
      <c r="A40" s="6"/>
      <c r="B40" s="5">
        <v>46074.614583333336</v>
      </c>
      <c r="C40" s="4" t="s">
        <v>16</v>
      </c>
      <c r="D40" s="12">
        <v>60</v>
      </c>
    </row>
    <row r="41" spans="1:7" x14ac:dyDescent="0.2">
      <c r="A41" s="6"/>
      <c r="B41" s="5">
        <v>46075.4375</v>
      </c>
      <c r="C41" s="4" t="s">
        <v>10</v>
      </c>
      <c r="D41" s="12">
        <v>50</v>
      </c>
    </row>
    <row r="42" spans="1:7" x14ac:dyDescent="0.2">
      <c r="A42" s="6"/>
      <c r="B42" s="5">
        <v>46076.458333333336</v>
      </c>
      <c r="C42" s="4" t="s">
        <v>23</v>
      </c>
      <c r="D42" s="12">
        <v>258.08999999999997</v>
      </c>
    </row>
    <row r="43" spans="1:7" x14ac:dyDescent="0.2">
      <c r="A43" s="6"/>
      <c r="B43" s="5">
        <v>46076.510416666664</v>
      </c>
      <c r="C43" s="4" t="s">
        <v>10</v>
      </c>
      <c r="D43" s="12">
        <v>45</v>
      </c>
    </row>
    <row r="44" spans="1:7" x14ac:dyDescent="0.2">
      <c r="A44" s="6"/>
      <c r="B44" s="5">
        <v>46076.666666666664</v>
      </c>
      <c r="C44" s="4" t="s">
        <v>16</v>
      </c>
      <c r="D44" s="12">
        <v>80</v>
      </c>
    </row>
    <row r="45" spans="1:7" x14ac:dyDescent="0.2">
      <c r="A45" s="6"/>
      <c r="B45" s="5">
        <v>46077.5</v>
      </c>
      <c r="C45" s="4" t="s">
        <v>16</v>
      </c>
      <c r="D45" s="12">
        <v>60</v>
      </c>
    </row>
    <row r="46" spans="1:7" x14ac:dyDescent="0.2">
      <c r="A46" s="6"/>
      <c r="B46" s="5">
        <v>46077.708333333336</v>
      </c>
      <c r="C46" s="4" t="s">
        <v>8</v>
      </c>
      <c r="D46" s="12">
        <v>45</v>
      </c>
    </row>
    <row r="47" spans="1:7" x14ac:dyDescent="0.2">
      <c r="A47" s="6"/>
      <c r="B47" s="5">
        <v>46079.395833333336</v>
      </c>
      <c r="C47" s="4" t="s">
        <v>8</v>
      </c>
      <c r="D47" s="12">
        <v>65</v>
      </c>
    </row>
    <row r="48" spans="1:7" x14ac:dyDescent="0.2">
      <c r="A48" s="6"/>
      <c r="B48" s="5">
        <v>46079.395833333336</v>
      </c>
      <c r="C48" s="4" t="s">
        <v>21</v>
      </c>
      <c r="D48" s="12">
        <v>64.12</v>
      </c>
    </row>
    <row r="49" spans="1:4" x14ac:dyDescent="0.2">
      <c r="A49" s="6"/>
      <c r="B49" s="5">
        <v>46079.458333333336</v>
      </c>
      <c r="C49" s="4" t="s">
        <v>13</v>
      </c>
      <c r="D49" s="12">
        <v>90</v>
      </c>
    </row>
    <row r="50" spans="1:4" x14ac:dyDescent="0.2">
      <c r="A50" s="6"/>
      <c r="B50" s="5">
        <v>46080.447916666664</v>
      </c>
      <c r="C50" s="4" t="s">
        <v>16</v>
      </c>
      <c r="D50" s="12">
        <v>40</v>
      </c>
    </row>
    <row r="51" spans="1:4" x14ac:dyDescent="0.2">
      <c r="A51" s="6"/>
      <c r="B51" s="5">
        <v>46081.416666666664</v>
      </c>
      <c r="C51" s="4" t="s">
        <v>6</v>
      </c>
      <c r="D51" s="12">
        <v>100</v>
      </c>
    </row>
    <row r="52" spans="1:4" x14ac:dyDescent="0.2">
      <c r="A52" s="6"/>
      <c r="B52" s="5">
        <v>46081.447916666664</v>
      </c>
      <c r="C52" s="4" t="s">
        <v>21</v>
      </c>
      <c r="D52" s="12">
        <v>80</v>
      </c>
    </row>
    <row r="53" spans="1:4" x14ac:dyDescent="0.2">
      <c r="A53" s="6"/>
      <c r="B53" s="5">
        <v>46081.458333333336</v>
      </c>
      <c r="C53" s="4" t="s">
        <v>8</v>
      </c>
      <c r="D53" s="12">
        <v>170</v>
      </c>
    </row>
    <row r="54" spans="1:4" x14ac:dyDescent="0.2">
      <c r="A54" s="6"/>
      <c r="B54" s="7"/>
      <c r="C54" s="6"/>
      <c r="D54" s="13"/>
    </row>
    <row r="55" spans="1:4" ht="19" customHeight="1" x14ac:dyDescent="0.2">
      <c r="A55" s="36" t="s">
        <v>24</v>
      </c>
      <c r="B55" s="36"/>
      <c r="C55" s="36"/>
      <c r="D55" s="36"/>
    </row>
    <row r="56" spans="1:4" x14ac:dyDescent="0.2">
      <c r="A56" s="4" t="s">
        <v>25</v>
      </c>
      <c r="B56" s="5">
        <v>46055.375</v>
      </c>
      <c r="C56" s="4" t="s">
        <v>26</v>
      </c>
      <c r="D56" s="12">
        <v>391.68</v>
      </c>
    </row>
    <row r="57" spans="1:4" x14ac:dyDescent="0.2">
      <c r="A57" s="4" t="s">
        <v>27</v>
      </c>
      <c r="B57" s="5">
        <v>46055.5</v>
      </c>
      <c r="C57" s="4" t="s">
        <v>10</v>
      </c>
      <c r="D57" s="12">
        <v>80.939999999999898</v>
      </c>
    </row>
    <row r="58" spans="1:4" x14ac:dyDescent="0.2">
      <c r="A58" s="4" t="s">
        <v>28</v>
      </c>
      <c r="B58" s="5">
        <v>46057.416666666664</v>
      </c>
      <c r="C58" s="4" t="s">
        <v>16</v>
      </c>
      <c r="D58" s="12">
        <v>19.41</v>
      </c>
    </row>
    <row r="59" spans="1:4" x14ac:dyDescent="0.2">
      <c r="A59" s="6"/>
      <c r="B59" s="5">
        <v>46058.708333333336</v>
      </c>
      <c r="C59" s="4" t="s">
        <v>6</v>
      </c>
      <c r="D59" s="12">
        <v>32.96</v>
      </c>
    </row>
    <row r="60" spans="1:4" x14ac:dyDescent="0.2">
      <c r="A60" s="6"/>
      <c r="B60" s="5">
        <v>46059.385416666664</v>
      </c>
      <c r="C60" s="4" t="s">
        <v>13</v>
      </c>
      <c r="D60" s="12">
        <v>46.6</v>
      </c>
    </row>
    <row r="61" spans="1:4" x14ac:dyDescent="0.2">
      <c r="A61" s="6"/>
      <c r="B61" s="5">
        <v>46061.385416666664</v>
      </c>
      <c r="C61" s="4" t="s">
        <v>8</v>
      </c>
      <c r="D61" s="12">
        <v>44.76</v>
      </c>
    </row>
    <row r="62" spans="1:4" x14ac:dyDescent="0.2">
      <c r="A62" s="4" t="s">
        <v>29</v>
      </c>
      <c r="B62" s="5">
        <v>46062.4375</v>
      </c>
      <c r="C62" s="4" t="s">
        <v>13</v>
      </c>
      <c r="D62" s="12">
        <v>48.3599999999999</v>
      </c>
    </row>
    <row r="63" spans="1:4" x14ac:dyDescent="0.2">
      <c r="A63" s="4" t="s">
        <v>30</v>
      </c>
      <c r="B63" s="5">
        <v>46062.625</v>
      </c>
      <c r="C63" s="4" t="s">
        <v>31</v>
      </c>
      <c r="D63" s="12">
        <v>84.42</v>
      </c>
    </row>
    <row r="64" spans="1:4" x14ac:dyDescent="0.2">
      <c r="A64" s="4" t="s">
        <v>32</v>
      </c>
      <c r="B64" s="5">
        <v>46063.416666666664</v>
      </c>
      <c r="C64" s="4" t="s">
        <v>8</v>
      </c>
      <c r="D64" s="12">
        <v>20.16</v>
      </c>
    </row>
    <row r="65" spans="1:4" x14ac:dyDescent="0.2">
      <c r="A65" s="4" t="s">
        <v>33</v>
      </c>
      <c r="B65" s="5">
        <v>46064.375</v>
      </c>
      <c r="C65" s="4" t="s">
        <v>16</v>
      </c>
      <c r="D65" s="12">
        <v>152</v>
      </c>
    </row>
    <row r="66" spans="1:4" x14ac:dyDescent="0.2">
      <c r="A66" s="4" t="s">
        <v>34</v>
      </c>
      <c r="B66" s="5">
        <v>46064.375</v>
      </c>
      <c r="C66" s="4" t="s">
        <v>6</v>
      </c>
      <c r="D66" s="12">
        <v>82.1099999999999</v>
      </c>
    </row>
    <row r="67" spans="1:4" x14ac:dyDescent="0.2">
      <c r="A67" s="4" t="s">
        <v>35</v>
      </c>
      <c r="B67" s="5">
        <v>46066.375</v>
      </c>
      <c r="C67" s="4" t="s">
        <v>8</v>
      </c>
      <c r="D67" s="12">
        <v>97.45</v>
      </c>
    </row>
    <row r="68" spans="1:4" x14ac:dyDescent="0.2">
      <c r="A68" s="4" t="s">
        <v>36</v>
      </c>
      <c r="B68" s="5">
        <v>46067.416666666664</v>
      </c>
      <c r="C68" s="4" t="s">
        <v>16</v>
      </c>
      <c r="D68" s="12">
        <v>30.89</v>
      </c>
    </row>
    <row r="69" spans="1:4" x14ac:dyDescent="0.2">
      <c r="A69" s="6"/>
      <c r="B69" s="5">
        <v>46067.430555555555</v>
      </c>
      <c r="C69" s="4" t="s">
        <v>6</v>
      </c>
      <c r="D69" s="12">
        <v>146.93</v>
      </c>
    </row>
    <row r="70" spans="1:4" x14ac:dyDescent="0.2">
      <c r="A70" s="4" t="s">
        <v>37</v>
      </c>
      <c r="B70" s="5">
        <v>46067.459027777775</v>
      </c>
      <c r="C70" s="4" t="s">
        <v>10</v>
      </c>
      <c r="D70" s="12">
        <v>69.48</v>
      </c>
    </row>
    <row r="71" spans="1:4" x14ac:dyDescent="0.2">
      <c r="A71" s="4" t="s">
        <v>38</v>
      </c>
      <c r="B71" s="5">
        <v>46067.520833333336</v>
      </c>
      <c r="C71" s="4" t="s">
        <v>31</v>
      </c>
      <c r="D71" s="12">
        <v>99.51</v>
      </c>
    </row>
    <row r="72" spans="1:4" x14ac:dyDescent="0.2">
      <c r="A72" s="4" t="s">
        <v>39</v>
      </c>
      <c r="B72" s="5">
        <v>46067.625</v>
      </c>
      <c r="C72" s="4" t="s">
        <v>10</v>
      </c>
      <c r="D72" s="12">
        <v>51.51</v>
      </c>
    </row>
    <row r="73" spans="1:4" x14ac:dyDescent="0.2">
      <c r="A73" s="4" t="s">
        <v>40</v>
      </c>
      <c r="B73" s="5">
        <v>46069.375</v>
      </c>
      <c r="C73" s="4" t="s">
        <v>8</v>
      </c>
      <c r="D73" s="12">
        <v>55.17</v>
      </c>
    </row>
    <row r="74" spans="1:4" x14ac:dyDescent="0.2">
      <c r="A74" s="4" t="s">
        <v>41</v>
      </c>
      <c r="B74" s="5">
        <v>46070.614583333336</v>
      </c>
      <c r="C74" s="4" t="s">
        <v>10</v>
      </c>
      <c r="D74" s="12">
        <v>49.32</v>
      </c>
    </row>
    <row r="75" spans="1:4" x14ac:dyDescent="0.2">
      <c r="A75" s="4" t="s">
        <v>42</v>
      </c>
      <c r="B75" s="5">
        <v>46073.53125</v>
      </c>
      <c r="C75" s="4" t="s">
        <v>13</v>
      </c>
      <c r="D75" s="12">
        <v>65.64</v>
      </c>
    </row>
    <row r="76" spans="1:4" x14ac:dyDescent="0.2">
      <c r="A76" s="4" t="s">
        <v>43</v>
      </c>
      <c r="B76" s="5">
        <v>46074.416666666664</v>
      </c>
      <c r="C76" s="4" t="s">
        <v>15</v>
      </c>
      <c r="D76" s="12">
        <v>109.7</v>
      </c>
    </row>
    <row r="77" spans="1:4" x14ac:dyDescent="0.2">
      <c r="A77" s="4" t="s">
        <v>44</v>
      </c>
      <c r="B77" s="5">
        <v>46079.395833333336</v>
      </c>
      <c r="C77" s="4" t="s">
        <v>45</v>
      </c>
      <c r="D77" s="12">
        <v>96.18</v>
      </c>
    </row>
    <row r="78" spans="1:4" x14ac:dyDescent="0.2">
      <c r="A78" s="6"/>
      <c r="B78" s="5">
        <v>46081.4375</v>
      </c>
      <c r="C78" s="4" t="s">
        <v>45</v>
      </c>
      <c r="D78" s="12">
        <v>282.24</v>
      </c>
    </row>
    <row r="79" spans="1:4" x14ac:dyDescent="0.2">
      <c r="A79" s="6"/>
      <c r="B79" s="7"/>
      <c r="C79" s="6"/>
      <c r="D79" s="13"/>
    </row>
    <row r="80" spans="1:4" ht="19" customHeight="1" x14ac:dyDescent="0.2">
      <c r="A80" s="36" t="s">
        <v>48</v>
      </c>
      <c r="B80" s="36"/>
      <c r="C80" s="36"/>
      <c r="D80" s="36"/>
    </row>
    <row r="81" spans="1:4" x14ac:dyDescent="0.2">
      <c r="A81" s="6"/>
      <c r="B81" s="5">
        <v>46060.667361111111</v>
      </c>
      <c r="C81" s="4" t="s">
        <v>49</v>
      </c>
      <c r="D81" s="12">
        <v>205</v>
      </c>
    </row>
    <row r="82" spans="1:4" x14ac:dyDescent="0.2">
      <c r="A82" s="6"/>
      <c r="B82" s="5">
        <v>46070.479861111111</v>
      </c>
      <c r="C82" s="4" t="s">
        <v>49</v>
      </c>
      <c r="D82" s="12">
        <v>260</v>
      </c>
    </row>
    <row r="83" spans="1:4" x14ac:dyDescent="0.2">
      <c r="A83" s="6"/>
      <c r="B83" s="5">
        <v>46073.458333333336</v>
      </c>
      <c r="C83" s="4" t="s">
        <v>6</v>
      </c>
      <c r="D83" s="12">
        <v>85.99</v>
      </c>
    </row>
    <row r="84" spans="1:4" x14ac:dyDescent="0.2">
      <c r="A84" s="6"/>
      <c r="B84" s="7"/>
      <c r="C84" s="6"/>
      <c r="D84" s="13"/>
    </row>
    <row r="85" spans="1:4" ht="19" customHeight="1" x14ac:dyDescent="0.2">
      <c r="A85" s="36" t="s">
        <v>50</v>
      </c>
      <c r="B85" s="36"/>
      <c r="C85" s="36"/>
      <c r="D85" s="36"/>
    </row>
    <row r="86" spans="1:4" x14ac:dyDescent="0.2">
      <c r="A86" s="4" t="s">
        <v>51</v>
      </c>
      <c r="B86" s="5">
        <v>46067.416666666664</v>
      </c>
      <c r="C86" s="4" t="s">
        <v>52</v>
      </c>
      <c r="D86" s="12">
        <v>138.44999999999999</v>
      </c>
    </row>
    <row r="87" spans="1:4" x14ac:dyDescent="0.2">
      <c r="A87" s="4" t="s">
        <v>53</v>
      </c>
      <c r="B87" s="5">
        <v>46074.5</v>
      </c>
      <c r="C87" s="4" t="s">
        <v>6</v>
      </c>
      <c r="D87" s="12">
        <v>44.08</v>
      </c>
    </row>
    <row r="88" spans="1:4" x14ac:dyDescent="0.2">
      <c r="A88" s="4" t="s">
        <v>54</v>
      </c>
      <c r="B88" s="5">
        <v>46075.604166666664</v>
      </c>
      <c r="C88" s="4" t="s">
        <v>52</v>
      </c>
      <c r="D88" s="12">
        <v>108.49</v>
      </c>
    </row>
    <row r="89" spans="1:4" x14ac:dyDescent="0.2">
      <c r="A89" s="4" t="s">
        <v>55</v>
      </c>
      <c r="B89" s="5">
        <v>46077.458333333336</v>
      </c>
      <c r="C89" s="4" t="s">
        <v>56</v>
      </c>
      <c r="D89" s="12">
        <v>90.15</v>
      </c>
    </row>
    <row r="90" spans="1:4" x14ac:dyDescent="0.2">
      <c r="A90" s="4" t="s">
        <v>57</v>
      </c>
      <c r="B90" s="5">
        <v>46081.458333333336</v>
      </c>
      <c r="C90" s="4" t="s">
        <v>52</v>
      </c>
      <c r="D90" s="12">
        <v>140.16999999999999</v>
      </c>
    </row>
    <row r="91" spans="1:4" x14ac:dyDescent="0.2">
      <c r="A91" s="6"/>
      <c r="B91" s="7"/>
      <c r="C91" s="6"/>
      <c r="D91" s="13"/>
    </row>
    <row r="92" spans="1:4" ht="19" customHeight="1" x14ac:dyDescent="0.2">
      <c r="A92" s="36" t="s">
        <v>58</v>
      </c>
      <c r="B92" s="36"/>
      <c r="C92" s="36"/>
      <c r="D92" s="36"/>
    </row>
    <row r="93" spans="1:4" x14ac:dyDescent="0.2">
      <c r="A93" s="4" t="s">
        <v>59</v>
      </c>
      <c r="B93" s="5">
        <v>46054.5</v>
      </c>
      <c r="C93" s="4" t="s">
        <v>60</v>
      </c>
      <c r="D93" s="12">
        <v>154.6</v>
      </c>
    </row>
    <row r="94" spans="1:4" x14ac:dyDescent="0.2">
      <c r="A94" s="4" t="s">
        <v>61</v>
      </c>
      <c r="B94" s="5">
        <v>46056.458333333336</v>
      </c>
      <c r="C94" s="4" t="s">
        <v>22</v>
      </c>
      <c r="D94" s="12">
        <v>33.479999999999997</v>
      </c>
    </row>
    <row r="95" spans="1:4" x14ac:dyDescent="0.2">
      <c r="A95" s="4" t="s">
        <v>62</v>
      </c>
      <c r="B95" s="5">
        <v>46058.416666666664</v>
      </c>
      <c r="C95" s="4" t="s">
        <v>45</v>
      </c>
      <c r="D95" s="12">
        <v>105.56</v>
      </c>
    </row>
    <row r="96" spans="1:4" x14ac:dyDescent="0.2">
      <c r="A96" s="4" t="s">
        <v>63</v>
      </c>
      <c r="B96" s="5">
        <v>46060.416666666664</v>
      </c>
      <c r="C96" s="4" t="s">
        <v>60</v>
      </c>
      <c r="D96" s="12">
        <v>170</v>
      </c>
    </row>
    <row r="97" spans="1:4" x14ac:dyDescent="0.2">
      <c r="A97" s="4" t="s">
        <v>64</v>
      </c>
      <c r="B97" s="5">
        <v>46061.451388888891</v>
      </c>
      <c r="C97" s="4" t="s">
        <v>65</v>
      </c>
      <c r="D97" s="12">
        <v>108.72</v>
      </c>
    </row>
    <row r="98" spans="1:4" x14ac:dyDescent="0.2">
      <c r="A98" s="4" t="s">
        <v>66</v>
      </c>
      <c r="B98" s="5">
        <v>46062.40625</v>
      </c>
      <c r="C98" s="4" t="s">
        <v>13</v>
      </c>
      <c r="D98" s="12">
        <v>41.36</v>
      </c>
    </row>
    <row r="99" spans="1:4" x14ac:dyDescent="0.2">
      <c r="A99" s="4" t="s">
        <v>67</v>
      </c>
      <c r="B99" s="5">
        <v>46062.416666666664</v>
      </c>
      <c r="C99" s="4" t="s">
        <v>10</v>
      </c>
      <c r="D99" s="12">
        <v>28.17</v>
      </c>
    </row>
    <row r="100" spans="1:4" x14ac:dyDescent="0.2">
      <c r="A100" s="4" t="s">
        <v>68</v>
      </c>
      <c r="B100" s="5">
        <v>46064.666666666664</v>
      </c>
      <c r="C100" s="4" t="s">
        <v>15</v>
      </c>
      <c r="D100" s="12">
        <v>96</v>
      </c>
    </row>
    <row r="101" spans="1:4" x14ac:dyDescent="0.2">
      <c r="A101" s="4" t="s">
        <v>69</v>
      </c>
      <c r="B101" s="5">
        <v>46066.416666666664</v>
      </c>
      <c r="C101" s="4" t="s">
        <v>10</v>
      </c>
      <c r="D101" s="12">
        <v>42.03</v>
      </c>
    </row>
    <row r="102" spans="1:4" x14ac:dyDescent="0.2">
      <c r="A102" s="4" t="s">
        <v>70</v>
      </c>
      <c r="B102" s="5">
        <v>46066.555555555555</v>
      </c>
      <c r="C102" s="4" t="s">
        <v>45</v>
      </c>
      <c r="D102" s="12">
        <v>53.2</v>
      </c>
    </row>
    <row r="103" spans="1:4" x14ac:dyDescent="0.2">
      <c r="A103" s="4" t="s">
        <v>71</v>
      </c>
      <c r="B103" s="5">
        <v>46067.5</v>
      </c>
      <c r="C103" s="4" t="s">
        <v>10</v>
      </c>
      <c r="D103" s="12">
        <v>42.03</v>
      </c>
    </row>
    <row r="104" spans="1:4" x14ac:dyDescent="0.2">
      <c r="A104" s="4" t="s">
        <v>72</v>
      </c>
      <c r="B104" s="5">
        <v>46068.375</v>
      </c>
      <c r="C104" s="4" t="s">
        <v>16</v>
      </c>
      <c r="D104" s="12">
        <v>13.55</v>
      </c>
    </row>
    <row r="105" spans="1:4" x14ac:dyDescent="0.2">
      <c r="A105" s="4" t="s">
        <v>73</v>
      </c>
      <c r="B105" s="5">
        <v>46068.416666666664</v>
      </c>
      <c r="C105" s="4" t="s">
        <v>21</v>
      </c>
      <c r="D105" s="12">
        <v>31.95</v>
      </c>
    </row>
    <row r="106" spans="1:4" x14ac:dyDescent="0.2">
      <c r="A106" s="4" t="s">
        <v>74</v>
      </c>
      <c r="B106" s="5">
        <v>46068.458333333336</v>
      </c>
      <c r="C106" s="4" t="s">
        <v>60</v>
      </c>
      <c r="D106" s="12">
        <v>211.6</v>
      </c>
    </row>
    <row r="107" spans="1:4" x14ac:dyDescent="0.2">
      <c r="A107" s="4" t="s">
        <v>75</v>
      </c>
      <c r="B107" s="5">
        <v>46068.5625</v>
      </c>
      <c r="C107" s="4" t="s">
        <v>52</v>
      </c>
      <c r="D107" s="12">
        <v>172.2</v>
      </c>
    </row>
    <row r="108" spans="1:4" x14ac:dyDescent="0.2">
      <c r="A108" s="4" t="s">
        <v>76</v>
      </c>
      <c r="B108" s="5">
        <v>46068.625</v>
      </c>
      <c r="C108" s="4" t="s">
        <v>22</v>
      </c>
      <c r="D108" s="12">
        <v>33.299999999999997</v>
      </c>
    </row>
    <row r="109" spans="1:4" x14ac:dyDescent="0.2">
      <c r="A109" s="4" t="s">
        <v>77</v>
      </c>
      <c r="B109" s="5">
        <v>46070.4375</v>
      </c>
      <c r="C109" s="4" t="s">
        <v>78</v>
      </c>
      <c r="D109" s="12">
        <v>252.11</v>
      </c>
    </row>
    <row r="110" spans="1:4" x14ac:dyDescent="0.2">
      <c r="A110" s="4" t="s">
        <v>79</v>
      </c>
      <c r="B110" s="5">
        <v>46070.708333333336</v>
      </c>
      <c r="C110" s="4" t="s">
        <v>6</v>
      </c>
      <c r="D110" s="12">
        <v>64.75</v>
      </c>
    </row>
    <row r="111" spans="1:4" x14ac:dyDescent="0.2">
      <c r="A111" s="4" t="s">
        <v>80</v>
      </c>
      <c r="B111" s="5">
        <v>46070.791666666664</v>
      </c>
      <c r="C111" s="4" t="s">
        <v>81</v>
      </c>
      <c r="D111" s="12">
        <v>202.62</v>
      </c>
    </row>
    <row r="112" spans="1:4" x14ac:dyDescent="0.2">
      <c r="A112" s="4" t="s">
        <v>82</v>
      </c>
      <c r="B112" s="5">
        <v>46071.416666666664</v>
      </c>
      <c r="C112" s="4" t="s">
        <v>6</v>
      </c>
      <c r="D112" s="12">
        <v>44.24</v>
      </c>
    </row>
    <row r="113" spans="1:4" x14ac:dyDescent="0.2">
      <c r="A113" s="4" t="s">
        <v>83</v>
      </c>
      <c r="B113" s="5">
        <v>46071.541666666664</v>
      </c>
      <c r="C113" s="4" t="s">
        <v>52</v>
      </c>
      <c r="D113" s="12">
        <v>136.36000000000001</v>
      </c>
    </row>
    <row r="114" spans="1:4" x14ac:dyDescent="0.2">
      <c r="A114" s="4" t="s">
        <v>84</v>
      </c>
      <c r="B114" s="5">
        <v>46071.770833333336</v>
      </c>
      <c r="C114" s="4" t="s">
        <v>12</v>
      </c>
      <c r="D114" s="12">
        <v>82.95</v>
      </c>
    </row>
    <row r="115" spans="1:4" x14ac:dyDescent="0.2">
      <c r="A115" s="4" t="s">
        <v>85</v>
      </c>
      <c r="B115" s="5">
        <v>46071.875</v>
      </c>
      <c r="C115" s="4" t="s">
        <v>20</v>
      </c>
      <c r="D115" s="12">
        <v>91.32</v>
      </c>
    </row>
    <row r="116" spans="1:4" x14ac:dyDescent="0.2">
      <c r="A116" s="4" t="s">
        <v>86</v>
      </c>
      <c r="B116" s="5">
        <v>46072.65625</v>
      </c>
      <c r="C116" s="4" t="s">
        <v>87</v>
      </c>
      <c r="D116" s="12">
        <v>62.79</v>
      </c>
    </row>
    <row r="117" spans="1:4" x14ac:dyDescent="0.2">
      <c r="A117" s="4" t="s">
        <v>88</v>
      </c>
      <c r="B117" s="5">
        <v>46073.604166666664</v>
      </c>
      <c r="C117" s="4" t="s">
        <v>89</v>
      </c>
      <c r="D117" s="12">
        <v>141.22999999999999</v>
      </c>
    </row>
    <row r="118" spans="1:4" x14ac:dyDescent="0.2">
      <c r="A118" s="4" t="s">
        <v>90</v>
      </c>
      <c r="B118" s="5">
        <v>46073.625</v>
      </c>
      <c r="C118" s="4" t="s">
        <v>10</v>
      </c>
      <c r="D118" s="12">
        <v>43.26</v>
      </c>
    </row>
    <row r="119" spans="1:4" x14ac:dyDescent="0.2">
      <c r="A119" s="4" t="s">
        <v>91</v>
      </c>
      <c r="B119" s="5">
        <v>46073.770833333336</v>
      </c>
      <c r="C119" s="4" t="s">
        <v>78</v>
      </c>
      <c r="D119" s="12">
        <v>81.09</v>
      </c>
    </row>
    <row r="120" spans="1:4" x14ac:dyDescent="0.2">
      <c r="A120" s="4" t="s">
        <v>92</v>
      </c>
      <c r="B120" s="5">
        <v>46075.512499999997</v>
      </c>
      <c r="C120" s="4" t="s">
        <v>16</v>
      </c>
      <c r="D120" s="12">
        <v>13.51</v>
      </c>
    </row>
    <row r="121" spans="1:4" x14ac:dyDescent="0.2">
      <c r="A121" s="4" t="s">
        <v>93</v>
      </c>
      <c r="B121" s="5">
        <v>46076.416666666664</v>
      </c>
      <c r="C121" s="4" t="s">
        <v>21</v>
      </c>
      <c r="D121" s="12">
        <v>43.95</v>
      </c>
    </row>
    <row r="122" spans="1:4" x14ac:dyDescent="0.2">
      <c r="A122" s="4" t="s">
        <v>94</v>
      </c>
      <c r="B122" s="5">
        <v>46076.4375</v>
      </c>
      <c r="C122" s="4" t="s">
        <v>45</v>
      </c>
      <c r="D122" s="12">
        <v>84.28</v>
      </c>
    </row>
    <row r="123" spans="1:4" x14ac:dyDescent="0.2">
      <c r="A123" s="4" t="s">
        <v>95</v>
      </c>
      <c r="B123" s="5">
        <v>46076.454861111109</v>
      </c>
      <c r="C123" s="4" t="s">
        <v>16</v>
      </c>
      <c r="D123" s="12">
        <v>8.84</v>
      </c>
    </row>
    <row r="124" spans="1:4" x14ac:dyDescent="0.2">
      <c r="A124" s="4" t="s">
        <v>96</v>
      </c>
      <c r="B124" s="5">
        <v>46076.458333333336</v>
      </c>
      <c r="C124" s="4" t="s">
        <v>13</v>
      </c>
      <c r="D124" s="12">
        <v>38.15</v>
      </c>
    </row>
    <row r="125" spans="1:4" x14ac:dyDescent="0.2">
      <c r="A125" s="4" t="s">
        <v>97</v>
      </c>
      <c r="B125" s="5">
        <v>46076.5</v>
      </c>
      <c r="C125" s="4" t="s">
        <v>13</v>
      </c>
      <c r="D125" s="12">
        <v>25.52</v>
      </c>
    </row>
    <row r="126" spans="1:4" x14ac:dyDescent="0.2">
      <c r="A126" s="4" t="s">
        <v>98</v>
      </c>
      <c r="B126" s="5">
        <v>46076.5</v>
      </c>
      <c r="C126" s="4" t="s">
        <v>45</v>
      </c>
      <c r="D126" s="12">
        <v>117.32</v>
      </c>
    </row>
    <row r="127" spans="1:4" x14ac:dyDescent="0.2">
      <c r="A127" s="4" t="s">
        <v>99</v>
      </c>
      <c r="B127" s="5">
        <v>46076.5</v>
      </c>
      <c r="C127" s="4" t="s">
        <v>60</v>
      </c>
      <c r="D127" s="12">
        <v>119.4</v>
      </c>
    </row>
    <row r="128" spans="1:4" x14ac:dyDescent="0.2">
      <c r="A128" s="4" t="s">
        <v>100</v>
      </c>
      <c r="B128" s="5">
        <v>46077.395833333336</v>
      </c>
      <c r="C128" s="4" t="s">
        <v>10</v>
      </c>
      <c r="D128" s="12">
        <v>19.350000000000001</v>
      </c>
    </row>
    <row r="129" spans="1:4" x14ac:dyDescent="0.2">
      <c r="A129" s="4" t="s">
        <v>101</v>
      </c>
      <c r="B129" s="5">
        <v>46077.625</v>
      </c>
      <c r="C129" s="4" t="s">
        <v>12</v>
      </c>
      <c r="D129" s="12">
        <v>101.01</v>
      </c>
    </row>
    <row r="130" spans="1:4" x14ac:dyDescent="0.2">
      <c r="A130" s="4" t="s">
        <v>102</v>
      </c>
      <c r="B130" s="5">
        <v>46078.416666666664</v>
      </c>
      <c r="C130" s="4" t="s">
        <v>45</v>
      </c>
      <c r="D130" s="12">
        <v>78.540000000000006</v>
      </c>
    </row>
    <row r="131" spans="1:4" x14ac:dyDescent="0.2">
      <c r="A131" s="4" t="s">
        <v>103</v>
      </c>
      <c r="B131" s="5">
        <v>46080.416666666664</v>
      </c>
      <c r="C131" s="4" t="s">
        <v>10</v>
      </c>
      <c r="D131" s="12">
        <v>53.61</v>
      </c>
    </row>
    <row r="132" spans="1:4" x14ac:dyDescent="0.2">
      <c r="A132" s="6"/>
      <c r="B132" s="7"/>
      <c r="C132" s="6"/>
      <c r="D132" s="13"/>
    </row>
    <row r="133" spans="1:4" ht="19" customHeight="1" x14ac:dyDescent="0.2">
      <c r="A133" s="36" t="s">
        <v>104</v>
      </c>
      <c r="B133" s="36"/>
      <c r="C133" s="36"/>
      <c r="D133" s="36"/>
    </row>
    <row r="134" spans="1:4" x14ac:dyDescent="0.2">
      <c r="A134" s="4" t="s">
        <v>105</v>
      </c>
      <c r="B134" s="5">
        <v>46055.416666666664</v>
      </c>
      <c r="C134" s="4" t="s">
        <v>56</v>
      </c>
      <c r="D134" s="12">
        <v>78.209999999999994</v>
      </c>
    </row>
    <row r="135" spans="1:4" x14ac:dyDescent="0.2">
      <c r="A135" s="4" t="s">
        <v>106</v>
      </c>
      <c r="B135" s="5">
        <v>46055.458333333336</v>
      </c>
      <c r="C135" s="4" t="s">
        <v>20</v>
      </c>
      <c r="D135" s="12">
        <v>165.84</v>
      </c>
    </row>
    <row r="136" spans="1:4" x14ac:dyDescent="0.2">
      <c r="A136" s="4" t="s">
        <v>107</v>
      </c>
      <c r="B136" s="5">
        <v>46064.458333333336</v>
      </c>
      <c r="C136" s="4" t="s">
        <v>10</v>
      </c>
      <c r="D136" s="12">
        <v>24.94</v>
      </c>
    </row>
    <row r="137" spans="1:4" x14ac:dyDescent="0.2">
      <c r="A137" s="4" t="s">
        <v>108</v>
      </c>
      <c r="B137" s="5">
        <v>46069.458333333336</v>
      </c>
      <c r="C137" s="4" t="s">
        <v>15</v>
      </c>
      <c r="D137" s="12">
        <v>94.2</v>
      </c>
    </row>
    <row r="138" spans="1:4" x14ac:dyDescent="0.2">
      <c r="A138" s="4" t="s">
        <v>109</v>
      </c>
      <c r="B138" s="5">
        <v>46070.6875</v>
      </c>
      <c r="C138" s="4" t="s">
        <v>110</v>
      </c>
      <c r="D138" s="12">
        <v>90.63</v>
      </c>
    </row>
    <row r="139" spans="1:4" x14ac:dyDescent="0.2">
      <c r="A139" s="4" t="s">
        <v>111</v>
      </c>
      <c r="B139" s="5">
        <v>46071.4375</v>
      </c>
      <c r="C139" s="4" t="s">
        <v>6</v>
      </c>
      <c r="D139" s="12">
        <v>110</v>
      </c>
    </row>
    <row r="140" spans="1:4" x14ac:dyDescent="0.2">
      <c r="A140" s="6"/>
      <c r="B140" s="7"/>
      <c r="C140" s="6"/>
      <c r="D140" s="13"/>
    </row>
    <row r="141" spans="1:4" ht="19" customHeight="1" x14ac:dyDescent="0.2">
      <c r="A141" s="36" t="s">
        <v>126</v>
      </c>
      <c r="B141" s="36"/>
      <c r="C141" s="36"/>
      <c r="D141" s="36"/>
    </row>
    <row r="142" spans="1:4" x14ac:dyDescent="0.2">
      <c r="A142" s="4" t="s">
        <v>127</v>
      </c>
      <c r="B142" s="5">
        <v>46068.583333333336</v>
      </c>
      <c r="C142" s="4" t="s">
        <v>52</v>
      </c>
      <c r="D142" s="12">
        <v>105.2</v>
      </c>
    </row>
    <row r="143" spans="1:4" x14ac:dyDescent="0.2">
      <c r="A143" s="6"/>
      <c r="B143" s="7"/>
      <c r="C143" s="6"/>
      <c r="D143" s="13"/>
    </row>
  </sheetData>
  <mergeCells count="10">
    <mergeCell ref="A141:D141"/>
    <mergeCell ref="F2:G2"/>
    <mergeCell ref="I2:J2"/>
    <mergeCell ref="A85:D85"/>
    <mergeCell ref="A92:D92"/>
    <mergeCell ref="A133:D133"/>
    <mergeCell ref="A2:D2"/>
    <mergeCell ref="A6:D6"/>
    <mergeCell ref="A55:D55"/>
    <mergeCell ref="A80:D80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COMISSIONISTAS</vt:lpstr>
      <vt:lpstr>AP+API-WEB+BROKERS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Auto Prudente</cp:lastModifiedBy>
  <dcterms:created xsi:type="dcterms:W3CDTF">2026-03-04T10:55:18Z</dcterms:created>
  <dcterms:modified xsi:type="dcterms:W3CDTF">2026-03-05T12:07:29Z</dcterms:modified>
</cp:coreProperties>
</file>